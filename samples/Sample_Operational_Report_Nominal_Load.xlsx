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Partner Performance" state="visible" r:id="rId5"/>
    <sheet sheetId="3" name="DLQ &amp; Exceptions" state="visible" r:id="rId6"/>
    <sheet sheetId="4" name="Audit Log" state="visible" r:id="rId7"/>
  </sheets>
  <calcPr calcId="171027"/>
</workbook>
</file>

<file path=xl/sharedStrings.xml><?xml version="1.0" encoding="utf-8"?>
<sst xmlns="http://schemas.openxmlformats.org/spreadsheetml/2006/main" count="679" uniqueCount="428">
  <si>
    <t>OPERATIONAL REPORTING &amp; DOCUMENT DISTRIBUTION DASHBOARD</t>
  </si>
  <si>
    <t>Profile: [NOMINAL-LOAD] | Generated: 16/10/2026, 8:10:04 pm | Tamper Verification: PASSED (Cryptographically Bound)</t>
  </si>
  <si>
    <t>🔒 Tamper-Evident Audit Chain: 100% Verified across 60 entries. Hash chaining intact.</t>
  </si>
  <si>
    <t>TOTAL VOLUME</t>
  </si>
  <si>
    <t>DELIVERED</t>
  </si>
  <si>
    <t>FAILED / DLQ</t>
  </si>
  <si>
    <t>REJECTED (ABAC)</t>
  </si>
  <si>
    <t>SUCCESS RATE</t>
  </si>
  <si>
    <t>SLA ADHERENCE</t>
  </si>
  <si>
    <t>P95 LATENCY</t>
  </si>
  <si>
    <t>95%</t>
  </si>
  <si>
    <t>165 ms</t>
  </si>
  <si>
    <t>Tail Latency Distribution (Milliseconds):</t>
  </si>
  <si>
    <t>Automated Spreadsheet Formulas:</t>
  </si>
  <si>
    <t>p50 (Median)</t>
  </si>
  <si>
    <t>76 ms</t>
  </si>
  <si>
    <t>Total Processed (Excel Formula):</t>
  </si>
  <si>
    <t>p95 Latency</t>
  </si>
  <si>
    <t>Total Successful Deliveries:</t>
  </si>
  <si>
    <t>p99 Latency (Tail Spikes)</t>
  </si>
  <si>
    <t>233 ms</t>
  </si>
  <si>
    <t>SLA Adherence Count:</t>
  </si>
  <si>
    <t>Mean Average Latency</t>
  </si>
  <si>
    <t>83.4 ms</t>
  </si>
  <si>
    <t>DLQ Enqueued Breaches:</t>
  </si>
  <si>
    <t>Min / Max Bounds</t>
  </si>
  <si>
    <t>0 ms / 233 ms</t>
  </si>
  <si>
    <t>Partner Key</t>
  </si>
  <si>
    <t>Total Dispatched</t>
  </si>
  <si>
    <t>Delivered</t>
  </si>
  <si>
    <t>Failed / Drops</t>
  </si>
  <si>
    <t>SLA Breaches</t>
  </si>
  <si>
    <t>Success %</t>
  </si>
  <si>
    <t>SLA Met %</t>
  </si>
  <si>
    <t>p50 (ms)</t>
  </si>
  <si>
    <t>p95 (ms)</t>
  </si>
  <si>
    <t>p99 (ms)</t>
  </si>
  <si>
    <t>WEALTH_MGMT_CORE</t>
  </si>
  <si>
    <t>92.9%</t>
  </si>
  <si>
    <t>LEGAL_COMPLIANCE</t>
  </si>
  <si>
    <t>100%</t>
  </si>
  <si>
    <t>CLIENT_PORTAL_GATEWAY</t>
  </si>
  <si>
    <t>94.7%</t>
  </si>
  <si>
    <t>UNDERWRITING_PARTNER</t>
  </si>
  <si>
    <t>92.3%</t>
  </si>
  <si>
    <t>DLQ Entry ID</t>
  </si>
  <si>
    <t>Request ID</t>
  </si>
  <si>
    <t>Target Partner</t>
  </si>
  <si>
    <t>Last State</t>
  </si>
  <si>
    <t>Retries Attempted</t>
  </si>
  <si>
    <t>Failure Root Cause</t>
  </si>
  <si>
    <t>Replay Status</t>
  </si>
  <si>
    <t>Failed At Timestamp</t>
  </si>
  <si>
    <t>N/A</t>
  </si>
  <si>
    <t>No Failures</t>
  </si>
  <si>
    <t>All partners operational</t>
  </si>
  <si>
    <t>Zero Dead-Letter Queue incidents recorded.</t>
  </si>
  <si>
    <t>CLEAN</t>
  </si>
  <si>
    <t>2026-10-16T18:10:04.297Z</t>
  </si>
  <si>
    <t>Event ID</t>
  </si>
  <si>
    <t>Doc ID</t>
  </si>
  <si>
    <t>Priority</t>
  </si>
  <si>
    <t>Final State</t>
  </si>
  <si>
    <t>Duration (ms)</t>
  </si>
  <si>
    <t>SLA Met?</t>
  </si>
  <si>
    <t>Idempotency Key</t>
  </si>
  <si>
    <t>HMAC (Sig)</t>
  </si>
  <si>
    <t>Prev Block Hash</t>
  </si>
  <si>
    <t>Entry Hash (H_n)</t>
  </si>
  <si>
    <t>Timestamp</t>
  </si>
  <si>
    <t>EVT-A4B96BAA</t>
  </si>
  <si>
    <t>REQ-NOM-1001</t>
  </si>
  <si>
    <t>P3</t>
  </si>
  <si>
    <t>IDEM-9D1B754F73DCEE128C98D3B39076FDFD</t>
  </si>
  <si>
    <t>3e56845acabbcb...</t>
  </si>
  <si>
    <t>00000000000000...</t>
  </si>
  <si>
    <t>a9ea41d9ede3f7...</t>
  </si>
  <si>
    <t>2026-10-16T18:09:59.312Z</t>
  </si>
  <si>
    <t>EVT-28E9B424</t>
  </si>
  <si>
    <t>REQ-NOM-1002</t>
  </si>
  <si>
    <t>P2</t>
  </si>
  <si>
    <t>IDEM-419E4E7FE4F4013BDF1287643210ADBF</t>
  </si>
  <si>
    <t>75ff87c7263d13...</t>
  </si>
  <si>
    <t>0c8b4c0a5626bf...</t>
  </si>
  <si>
    <t>2026-10-16T18:09:59.361Z</t>
  </si>
  <si>
    <t>EVT-FEC6891B</t>
  </si>
  <si>
    <t>REQ-NOM-1003</t>
  </si>
  <si>
    <t>P1</t>
  </si>
  <si>
    <t>IDEM-C944B4C0DA9CA3CB92E487CC68378B9E</t>
  </si>
  <si>
    <t>19a324ee0a3dfc...</t>
  </si>
  <si>
    <t>13773f0a89c81f...</t>
  </si>
  <si>
    <t>2026-10-16T18:09:59.395Z</t>
  </si>
  <si>
    <t>EVT-B660832D</t>
  </si>
  <si>
    <t>REQ-NOM-1004</t>
  </si>
  <si>
    <t>IDEM-EE80DC6DCA49492B785DDC978A8DEF6C</t>
  </si>
  <si>
    <t>f9a826599d1021...</t>
  </si>
  <si>
    <t>c18bc2fa3eaccd...</t>
  </si>
  <si>
    <t>2026-10-16T18:09:59.445Z</t>
  </si>
  <si>
    <t>EVT-EF423E85</t>
  </si>
  <si>
    <t>REQ-NOM-1005</t>
  </si>
  <si>
    <t>IDEM-151E29B9226A612A1131756B2CD5EE36</t>
  </si>
  <si>
    <t>027ae1e24537f1...</t>
  </si>
  <si>
    <t>95443482191f5d...</t>
  </si>
  <si>
    <t>2026-10-16T18:09:59.529Z</t>
  </si>
  <si>
    <t>EVT-ACB19275</t>
  </si>
  <si>
    <t>REQ-NOM-1006</t>
  </si>
  <si>
    <t>IDEM-90E6A63D8BD7884323CB654F16607E96</t>
  </si>
  <si>
    <t>64064aa2440cb2...</t>
  </si>
  <si>
    <t>8925a6891e0396...</t>
  </si>
  <si>
    <t>2026-10-16T18:09:59.612Z</t>
  </si>
  <si>
    <t>EVT-5417876D</t>
  </si>
  <si>
    <t>REQ-NOM-1007</t>
  </si>
  <si>
    <t>IDEM-FB8AAFBE6EB180331D465CFAEB465B37</t>
  </si>
  <si>
    <t>0e6a672c1b12a4...</t>
  </si>
  <si>
    <t>c75d733e7de0a4...</t>
  </si>
  <si>
    <t>2026-10-16T18:09:59.778Z</t>
  </si>
  <si>
    <t>EVT-51FFA2E5</t>
  </si>
  <si>
    <t>REQ-NOM-1008</t>
  </si>
  <si>
    <t>IDEM-42B24A03AFE0C4B19FA29F611928B330</t>
  </si>
  <si>
    <t>bb65c998ff0554...</t>
  </si>
  <si>
    <t>95cad4940c3729...</t>
  </si>
  <si>
    <t>2026-10-16T18:09:59.943Z</t>
  </si>
  <si>
    <t>EVT-05AD078F</t>
  </si>
  <si>
    <t>REQ-NOM-1009</t>
  </si>
  <si>
    <t>IDEM-87F094B7ACD22EF6C3B7E59D63FC1549</t>
  </si>
  <si>
    <t>668ea7b93ab774...</t>
  </si>
  <si>
    <t>75683172d15b34...</t>
  </si>
  <si>
    <t>2026-10-16T18:10:00.093Z</t>
  </si>
  <si>
    <t>EVT-99FC1C83</t>
  </si>
  <si>
    <t>REQ-NOM-1010</t>
  </si>
  <si>
    <t>IDEM-4692636F73AA32DDC22D88D46CA975C7</t>
  </si>
  <si>
    <t>9391915f39c331...</t>
  </si>
  <si>
    <t>6628275b4e858c...</t>
  </si>
  <si>
    <t>2026-10-16T18:10:00.244Z</t>
  </si>
  <si>
    <t>EVT-E47CD5BD</t>
  </si>
  <si>
    <t>REQ-NOM-1011</t>
  </si>
  <si>
    <t>IDEM-C7390BDF1484E6111D703BDAB9BA78A1</t>
  </si>
  <si>
    <t>c052a19c1fd372...</t>
  </si>
  <si>
    <t>b4775810d5aa80...</t>
  </si>
  <si>
    <t>2026-10-16T18:10:00.277Z</t>
  </si>
  <si>
    <t>EVT-AA990B91</t>
  </si>
  <si>
    <t>REQ-NOM-1012</t>
  </si>
  <si>
    <t>IDEM-84AAD337BBD20D6A422E745F79E3CF61</t>
  </si>
  <si>
    <t>a1772988a0b352...</t>
  </si>
  <si>
    <t>4c30945678fa99...</t>
  </si>
  <si>
    <t>2026-10-16T18:10:00.461Z</t>
  </si>
  <si>
    <t>EVT-0F56EF23</t>
  </si>
  <si>
    <t>REQ-NOM-1013</t>
  </si>
  <si>
    <t>IDEM-CE760E559A118EDFB1BCE9E9F22BA1DC</t>
  </si>
  <si>
    <t>ff100123926d3b...</t>
  </si>
  <si>
    <t>86616eb408c70f...</t>
  </si>
  <si>
    <t>2026-10-16T18:10:00.510Z</t>
  </si>
  <si>
    <t>EVT-27DADDD1</t>
  </si>
  <si>
    <t>REQ-NOM-1014</t>
  </si>
  <si>
    <t>IDEM-0FE3790616A8E770DED40D51E895857B</t>
  </si>
  <si>
    <t>780efdb8c23f14...</t>
  </si>
  <si>
    <t>a31ee7741a3100...</t>
  </si>
  <si>
    <t>2026-10-16T18:10:00.560Z</t>
  </si>
  <si>
    <t>EVT-A832CEC8</t>
  </si>
  <si>
    <t>REQ-NOM-1015</t>
  </si>
  <si>
    <t>IDEM-37EF0FAB3ED082B414E61F322E861057</t>
  </si>
  <si>
    <t>a86dc3a7832a15...</t>
  </si>
  <si>
    <t>6f1035e9f92377...</t>
  </si>
  <si>
    <t>2026-10-16T18:10:00.613Z</t>
  </si>
  <si>
    <t>EVT-78362AFF</t>
  </si>
  <si>
    <t>REQ-NOM-1016</t>
  </si>
  <si>
    <t>IDEM-AF657F2869BB4EFE707C54B1DDF92E7F</t>
  </si>
  <si>
    <t>907568852da3e4...</t>
  </si>
  <si>
    <t>c35fc11fee663b...</t>
  </si>
  <si>
    <t>2026-10-16T18:10:00.745Z</t>
  </si>
  <si>
    <t>EVT-8B3DF90B</t>
  </si>
  <si>
    <t>REQ-NOM-1017</t>
  </si>
  <si>
    <t>IDEM-6161E0BA3E77D35699041154EDE5D264</t>
  </si>
  <si>
    <t>14423b326b383f...</t>
  </si>
  <si>
    <t>ca4a5fe9c97f2c...</t>
  </si>
  <si>
    <t>2026-10-16T18:10:00.795Z</t>
  </si>
  <si>
    <t>EVT-33391EC7</t>
  </si>
  <si>
    <t>REQ-NOM-1018</t>
  </si>
  <si>
    <t>REJECTED</t>
  </si>
  <si>
    <t>N/A...</t>
  </si>
  <si>
    <t>9d01d2822800ae...</t>
  </si>
  <si>
    <t>2026-10-16T18:10:00.796Z</t>
  </si>
  <si>
    <t>EVT-C573FA13</t>
  </si>
  <si>
    <t>REQ-NOM-1019</t>
  </si>
  <si>
    <t>IDEM-D9BEBACC6C2BFF0495E50730B1836B38</t>
  </si>
  <si>
    <t>44b60ad3cc6285...</t>
  </si>
  <si>
    <t>c0379a3cdad67e...</t>
  </si>
  <si>
    <t>2026-10-16T18:10:00.961Z</t>
  </si>
  <si>
    <t>EVT-7B338B22</t>
  </si>
  <si>
    <t>REQ-NOM-1020</t>
  </si>
  <si>
    <t>IDEM-524B75C6064A7987F501D9AEBA586232</t>
  </si>
  <si>
    <t>93d9a0e6ae66b8...</t>
  </si>
  <si>
    <t>1dba175629aa11...</t>
  </si>
  <si>
    <t>2026-10-16T18:10:01.060Z</t>
  </si>
  <si>
    <t>EVT-4606D3AF</t>
  </si>
  <si>
    <t>REQ-NOM-1021</t>
  </si>
  <si>
    <t>IDEM-16E303B5C0C1549051C7D665D261CCDC</t>
  </si>
  <si>
    <t>6c5db48c4eaaa9...</t>
  </si>
  <si>
    <t>7de3b7b2bfb4f9...</t>
  </si>
  <si>
    <t>2026-10-16T18:10:01.226Z</t>
  </si>
  <si>
    <t>EVT-C0DE495E</t>
  </si>
  <si>
    <t>REQ-NOM-1022</t>
  </si>
  <si>
    <t>IDEM-301BA9A6F403D61F5FCDA0BDAB31FF3C</t>
  </si>
  <si>
    <t>c1a76704d7a928...</t>
  </si>
  <si>
    <t>a3f413914f8044...</t>
  </si>
  <si>
    <t>2026-10-16T18:10:01.377Z</t>
  </si>
  <si>
    <t>EVT-1F208ECC</t>
  </si>
  <si>
    <t>REQ-NOM-1023</t>
  </si>
  <si>
    <t>IDEM-92D50C1168D930E5A5D03F20C08A88EC</t>
  </si>
  <si>
    <t>31d379232a1255...</t>
  </si>
  <si>
    <t>6ac72c55ad55d0...</t>
  </si>
  <si>
    <t>2026-10-16T18:10:01.445Z</t>
  </si>
  <si>
    <t>EVT-59ABD4AC</t>
  </si>
  <si>
    <t>REQ-NOM-1024</t>
  </si>
  <si>
    <t>IDEM-050E4621AFFE4F32A10CC02AFB9C351F</t>
  </si>
  <si>
    <t>0def40e06cf2c0...</t>
  </si>
  <si>
    <t>1a39225867757a...</t>
  </si>
  <si>
    <t>2026-10-16T18:10:01.494Z</t>
  </si>
  <si>
    <t>EVT-E07ED34C</t>
  </si>
  <si>
    <t>REQ-NOM-1025</t>
  </si>
  <si>
    <t>IDEM-DEF3659D507C5EF236AA344ADC4F6666</t>
  </si>
  <si>
    <t>001ffa559f4f1f...</t>
  </si>
  <si>
    <t>c9b2c885bb1905...</t>
  </si>
  <si>
    <t>2026-10-16T18:10:01.593Z</t>
  </si>
  <si>
    <t>EVT-5CBC772D</t>
  </si>
  <si>
    <t>REQ-NOM-1026</t>
  </si>
  <si>
    <t>IDEM-CB878E4973B0F01A26E8C79D4011708A</t>
  </si>
  <si>
    <t>004c5d6b0343f4...</t>
  </si>
  <si>
    <t>528a57bfbbfcef...</t>
  </si>
  <si>
    <t>2026-10-16T18:10:01.643Z</t>
  </si>
  <si>
    <t>EVT-5F3D1DE4</t>
  </si>
  <si>
    <t>REQ-NOM-1027</t>
  </si>
  <si>
    <t>IDEM-4EB01037F9BECCA01CB721A328374166</t>
  </si>
  <si>
    <t>5ccea02e7c49f9...</t>
  </si>
  <si>
    <t>361adb638fd5aa...</t>
  </si>
  <si>
    <t>2026-10-16T18:10:01.760Z</t>
  </si>
  <si>
    <t>EVT-71706BEF</t>
  </si>
  <si>
    <t>REQ-NOM-1028</t>
  </si>
  <si>
    <t>IDEM-E6738F9BA2B7BAFDA848739CBBBEF30E</t>
  </si>
  <si>
    <t>7a89905ba53e91...</t>
  </si>
  <si>
    <t>ef65d3b3b6f70d...</t>
  </si>
  <si>
    <t>2026-10-16T18:10:01.886Z</t>
  </si>
  <si>
    <t>EVT-AD23C685</t>
  </si>
  <si>
    <t>REQ-NOM-1029</t>
  </si>
  <si>
    <t>IDEM-326ADC3528E38C21511D4C7BEDCD7AFA</t>
  </si>
  <si>
    <t>da20811d0110ee...</t>
  </si>
  <si>
    <t>931dc8d2934c60...</t>
  </si>
  <si>
    <t>2026-10-16T18:10:01.977Z</t>
  </si>
  <si>
    <t>EVT-75FAFB81</t>
  </si>
  <si>
    <t>REQ-NOM-1030</t>
  </si>
  <si>
    <t>IDEM-C50B2EC4B411B69F5D3855D6EFDDAE6A</t>
  </si>
  <si>
    <t>fde22aefe96656...</t>
  </si>
  <si>
    <t>f39e827bbd3ed9...</t>
  </si>
  <si>
    <t>2026-10-16T18:10:02.092Z</t>
  </si>
  <si>
    <t>EVT-3A83B04C</t>
  </si>
  <si>
    <t>REQ-NOM-1031</t>
  </si>
  <si>
    <t>IDEM-F13F471064ECC1D09B8B6A405ECAE752</t>
  </si>
  <si>
    <t>27ed0b965e9a24...</t>
  </si>
  <si>
    <t>a981327078e341...</t>
  </si>
  <si>
    <t>2026-10-16T18:10:02.177Z</t>
  </si>
  <si>
    <t>EVT-38C32D8B</t>
  </si>
  <si>
    <t>REQ-NOM-1032</t>
  </si>
  <si>
    <t>IDEM-2BBDEC747EEBED89E3E3E072F79CAF4C</t>
  </si>
  <si>
    <t>5f62c044947989...</t>
  </si>
  <si>
    <t>74c375b3694601...</t>
  </si>
  <si>
    <t>2026-10-16T18:10:02.278Z</t>
  </si>
  <si>
    <t>EVT-88677349</t>
  </si>
  <si>
    <t>REQ-NOM-1033</t>
  </si>
  <si>
    <t>IDEM-C7A11A7F49AD6D6311AD328EF52DA635</t>
  </si>
  <si>
    <t>86abb799c4e3a3...</t>
  </si>
  <si>
    <t>119a2588b67305...</t>
  </si>
  <si>
    <t>2026-10-16T18:10:02.310Z</t>
  </si>
  <si>
    <t>EVT-3068A925</t>
  </si>
  <si>
    <t>REQ-NOM-1034</t>
  </si>
  <si>
    <t>IDEM-A2AEB9B2C7BD6A153DB945A28E4630F7</t>
  </si>
  <si>
    <t>70c26756ec6c0f...</t>
  </si>
  <si>
    <t>99a28922f19338...</t>
  </si>
  <si>
    <t>2026-10-16T18:10:02.395Z</t>
  </si>
  <si>
    <t>EVT-E28AB816</t>
  </si>
  <si>
    <t>REQ-NOM-1035</t>
  </si>
  <si>
    <t>IDEM-47E6AFBD44EA2B5DDB5E556682AFEC7E</t>
  </si>
  <si>
    <t>dae65930040916...</t>
  </si>
  <si>
    <t>d1374d3309ca4c...</t>
  </si>
  <si>
    <t>2026-10-16T18:10:02.460Z</t>
  </si>
  <si>
    <t>EVT-F720AE2E</t>
  </si>
  <si>
    <t>REQ-NOM-1036</t>
  </si>
  <si>
    <t>8ccbfc90ea77d0...</t>
  </si>
  <si>
    <t>EVT-2265E129</t>
  </si>
  <si>
    <t>REQ-NOM-1037</t>
  </si>
  <si>
    <t>IDEM-5E670AD8B6BD3A87C770F9D6FFBCA738</t>
  </si>
  <si>
    <t>16b1d7971d2122...</t>
  </si>
  <si>
    <t>bcebbbda898a86...</t>
  </si>
  <si>
    <t>2026-10-16T18:10:02.593Z</t>
  </si>
  <si>
    <t>EVT-8F361047</t>
  </si>
  <si>
    <t>REQ-NOM-1038</t>
  </si>
  <si>
    <t>IDEM-578B32A704E34230C42D852EAA938C7E</t>
  </si>
  <si>
    <t>e9510a3c2c841f...</t>
  </si>
  <si>
    <t>ab2e07c7d72d00...</t>
  </si>
  <si>
    <t>2026-10-16T18:10:02.643Z</t>
  </si>
  <si>
    <t>EVT-AF83E215</t>
  </si>
  <si>
    <t>REQ-NOM-1039</t>
  </si>
  <si>
    <t>IDEM-489D81BFCF359C492EE7FEE70CA88BFD</t>
  </si>
  <si>
    <t>ab1fea90d933dd...</t>
  </si>
  <si>
    <t>d5a417a867f93b...</t>
  </si>
  <si>
    <t>2026-10-16T18:10:02.710Z</t>
  </si>
  <si>
    <t>EVT-8513EA14</t>
  </si>
  <si>
    <t>REQ-NOM-1040</t>
  </si>
  <si>
    <t>IDEM-5D882B3520605299901CE06DB0F7408B</t>
  </si>
  <si>
    <t>20bdc2cfca6203...</t>
  </si>
  <si>
    <t>7b610b41549077...</t>
  </si>
  <si>
    <t>2026-10-16T18:10:02.744Z</t>
  </si>
  <si>
    <t>EVT-26D84995</t>
  </si>
  <si>
    <t>REQ-NOM-1041</t>
  </si>
  <si>
    <t>IDEM-7537577077B1278A1931F7BC7DF777F6</t>
  </si>
  <si>
    <t>9a8e75f3b77974...</t>
  </si>
  <si>
    <t>e435ed47da75da...</t>
  </si>
  <si>
    <t>2026-10-16T18:10:02.828Z</t>
  </si>
  <si>
    <t>EVT-0075B8A6</t>
  </si>
  <si>
    <t>REQ-NOM-1042</t>
  </si>
  <si>
    <t>IDEM-2572DAD3B7064386E9CF36DFEBE4ED93</t>
  </si>
  <si>
    <t>654a276da83f98...</t>
  </si>
  <si>
    <t>1d293bc2206f4c...</t>
  </si>
  <si>
    <t>2026-10-16T18:10:02.877Z</t>
  </si>
  <si>
    <t>EVT-830B40D0</t>
  </si>
  <si>
    <t>REQ-NOM-1043</t>
  </si>
  <si>
    <t>IDEM-C36397209810B51277F8DD66E3424F12</t>
  </si>
  <si>
    <t>9ccf9ac25fda87...</t>
  </si>
  <si>
    <t>04532f3eedb351...</t>
  </si>
  <si>
    <t>2026-10-16T18:10:02.924Z</t>
  </si>
  <si>
    <t>EVT-199B15BA</t>
  </si>
  <si>
    <t>REQ-NOM-1044</t>
  </si>
  <si>
    <t>IDEM-F93EC0B5C73B820EE619760B021445C8</t>
  </si>
  <si>
    <t>4ece7896c943c1...</t>
  </si>
  <si>
    <t>390756e3f24bea...</t>
  </si>
  <si>
    <t>2026-10-16T18:10:02.993Z</t>
  </si>
  <si>
    <t>EVT-2A62AC0E</t>
  </si>
  <si>
    <t>REQ-NOM-1045</t>
  </si>
  <si>
    <t>IDEM-F2920F99C0DB69E5F00C8AAF72A03E37</t>
  </si>
  <si>
    <t>4df0f1e15e2b99...</t>
  </si>
  <si>
    <t>e2fa7352d62522...</t>
  </si>
  <si>
    <t>2026-10-16T18:10:03.060Z</t>
  </si>
  <si>
    <t>EVT-3E53A7C7</t>
  </si>
  <si>
    <t>REQ-NOM-1046</t>
  </si>
  <si>
    <t>IDEM-19F3007459997FB5E260E5A70CD926D5</t>
  </si>
  <si>
    <t>4b717d1e822412...</t>
  </si>
  <si>
    <t>340d21ccba145a...</t>
  </si>
  <si>
    <t>2026-10-16T18:10:03.293Z</t>
  </si>
  <si>
    <t>EVT-6710CAAC</t>
  </si>
  <si>
    <t>REQ-NOM-1047</t>
  </si>
  <si>
    <t>IDEM-8CA2E9CEB244C29D321BD0789C0E80A4</t>
  </si>
  <si>
    <t>f763c42650d9e7...</t>
  </si>
  <si>
    <t>c0d8099f17a119...</t>
  </si>
  <si>
    <t>2026-10-16T18:10:03.361Z</t>
  </si>
  <si>
    <t>EVT-DE5E4ED5</t>
  </si>
  <si>
    <t>REQ-NOM-1048</t>
  </si>
  <si>
    <t>IDEM-B99161BEE61E9BBC7C69E77FD4289515</t>
  </si>
  <si>
    <t>277cbdfaa8cd02...</t>
  </si>
  <si>
    <t>e5747add3d0d00...</t>
  </si>
  <si>
    <t>2026-10-16T18:10:03.431Z</t>
  </si>
  <si>
    <t>EVT-4D184800</t>
  </si>
  <si>
    <t>REQ-NOM-1049</t>
  </si>
  <si>
    <t>IDEM-2E68A846596960592114C221DC957895</t>
  </si>
  <si>
    <t>d2f992bca79a21...</t>
  </si>
  <si>
    <t>f0f580086d6b8b...</t>
  </si>
  <si>
    <t>2026-10-16T18:10:03.510Z</t>
  </si>
  <si>
    <t>EVT-923A3C1C</t>
  </si>
  <si>
    <t>REQ-NOM-1050</t>
  </si>
  <si>
    <t>IDEM-67006B41AFB2021FF982D7E9BDF21F42</t>
  </si>
  <si>
    <t>0444e5050bb644...</t>
  </si>
  <si>
    <t>5acf17a97220f2...</t>
  </si>
  <si>
    <t>2026-10-16T18:10:03.612Z</t>
  </si>
  <si>
    <t>EVT-8798FFBC</t>
  </si>
  <si>
    <t>REQ-NOM-1051</t>
  </si>
  <si>
    <t>IDEM-053E73734C37B7256F98D3697037E29B</t>
  </si>
  <si>
    <t>b9ace66c6f9d23...</t>
  </si>
  <si>
    <t>17880d1ebe8755...</t>
  </si>
  <si>
    <t>2026-10-16T18:10:03.693Z</t>
  </si>
  <si>
    <t>EVT-3B472BE2</t>
  </si>
  <si>
    <t>REQ-NOM-1052</t>
  </si>
  <si>
    <t>IDEM-9FDF9115B31B807810676A20520B8147</t>
  </si>
  <si>
    <t>74466ce18274f6...</t>
  </si>
  <si>
    <t>d63efc06f8fc4f...</t>
  </si>
  <si>
    <t>2026-10-16T18:10:03.726Z</t>
  </si>
  <si>
    <t>EVT-627A4B13</t>
  </si>
  <si>
    <t>REQ-NOM-1053</t>
  </si>
  <si>
    <t>IDEM-EEA545F3590A0C9CE43AFE65BDB6C8FD</t>
  </si>
  <si>
    <t>5bfe73c27031a6...</t>
  </si>
  <si>
    <t>d570fd73abefb3...</t>
  </si>
  <si>
    <t>2026-10-16T18:10:03.828Z</t>
  </si>
  <si>
    <t>EVT-BF9CB69B</t>
  </si>
  <si>
    <t>REQ-NOM-1054</t>
  </si>
  <si>
    <t>78cb195ff81706...</t>
  </si>
  <si>
    <t>EVT-94E1DA7E</t>
  </si>
  <si>
    <t>REQ-NOM-1055</t>
  </si>
  <si>
    <t>IDEM-1A4D298F3DEB5C4FCB1B3EB6FCA4CCF5</t>
  </si>
  <si>
    <t>e82fb60d3a9415...</t>
  </si>
  <si>
    <t>e1fb83afeb3185...</t>
  </si>
  <si>
    <t>2026-10-16T18:10:03.894Z</t>
  </si>
  <si>
    <t>EVT-CE56330C</t>
  </si>
  <si>
    <t>REQ-NOM-1056</t>
  </si>
  <si>
    <t>IDEM-090CCAA1ED3BCF2D149715076C959B6F</t>
  </si>
  <si>
    <t>d5732c39dff903...</t>
  </si>
  <si>
    <t>9055de154ff058...</t>
  </si>
  <si>
    <t>2026-10-16T18:10:03.994Z</t>
  </si>
  <si>
    <t>EVT-7FE1BE60</t>
  </si>
  <si>
    <t>REQ-NOM-1057</t>
  </si>
  <si>
    <t>IDEM-AA857DE414A23D82BA71CA476102AB79</t>
  </si>
  <si>
    <t>9f8a90be647725...</t>
  </si>
  <si>
    <t>7d26b2aad663d8...</t>
  </si>
  <si>
    <t>2026-10-16T18:10:04.075Z</t>
  </si>
  <si>
    <t>EVT-11098F40</t>
  </si>
  <si>
    <t>REQ-NOM-1058</t>
  </si>
  <si>
    <t>IDEM-2298CF713C853660AB9FB43B58866A55</t>
  </si>
  <si>
    <t>af15c74d4e08d1...</t>
  </si>
  <si>
    <t>d050078850db56...</t>
  </si>
  <si>
    <t>2026-10-16T18:10:04.110Z</t>
  </si>
  <si>
    <t>EVT-09F0A2A9</t>
  </si>
  <si>
    <t>REQ-NOM-1059</t>
  </si>
  <si>
    <t>IDEM-FB833D211B54FBBCB6528D16182654B2</t>
  </si>
  <si>
    <t>86b541a469341f...</t>
  </si>
  <si>
    <t>e844c6809ab4ef...</t>
  </si>
  <si>
    <t>2026-10-16T18:10:04.178Z</t>
  </si>
  <si>
    <t>EVT-3AEC7DFE</t>
  </si>
  <si>
    <t>REQ-NOM-1060</t>
  </si>
  <si>
    <t>IDEM-F499222B35D24DF2142F54B076E8DBE5</t>
  </si>
  <si>
    <t>7f1983fff3491a...</t>
  </si>
  <si>
    <t>f025a6b0f7485a...</t>
  </si>
  <si>
    <t>2026-10-16T18:10:04.259Z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</si>
</sst>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i/>
      <color rgb="FF64748B"/>
      <sz val="9"/>
      <name val="Segoe UI"/>
    </font>
    <font>
      <b/>
      <color rgb="FF166534"/>
      <sz val="9"/>
      <name val="Segoe UI"/>
    </font>
    <font>
      <b/>
      <color rgb="FF475569"/>
      <sz val="8"/>
      <name val="Segoe UI"/>
    </font>
    <font>
      <b/>
      <color rgb="FF1D4ED8"/>
      <sz val="15"/>
      <name val="Segoe UI"/>
    </font>
    <font>
      <b/>
      <color rgb="FF15803D"/>
      <sz val="15"/>
      <name val="Segoe UI"/>
    </font>
    <font>
      <b/>
      <color rgb="FFB91C1C"/>
      <sz val="15"/>
      <name val="Segoe UI"/>
    </font>
    <font>
      <b/>
      <color rgb="FFD97706"/>
      <sz val="15"/>
      <name val="Segoe UI"/>
    </font>
    <font>
      <b/>
      <color rgb="FF0F766E"/>
      <sz val="15"/>
      <name val="Segoe UI"/>
    </font>
    <font>
      <b/>
      <color rgb="FF6D28D9"/>
      <sz val="15"/>
      <name val="Segoe UI"/>
    </font>
    <font>
      <b/>
      <color rgb="FFC2410C"/>
      <sz val="15"/>
      <name val="Segoe UI"/>
    </font>
    <font>
      <b/>
      <color rgb="FF0F172A"/>
      <sz val="11"/>
      <name val="Segoe UI"/>
    </font>
    <font>
      <color rgb="FF334155"/>
      <sz val="9"/>
      <name val="Segoe UI"/>
    </font>
    <font>
      <b/>
      <color rgb="FF0F172A"/>
      <sz val="9"/>
      <name val="Segoe UI"/>
    </font>
    <font>
      <b/>
      <color rgb="FF1D4ED8"/>
      <sz val="9"/>
      <name val="Segoe UI"/>
    </font>
    <font>
      <b/>
      <color rgb="FFFFFFFF"/>
      <sz val="10"/>
      <name val="Segoe UI"/>
    </font>
    <font>
      <i/>
      <color rgb="FF15803D"/>
    </font>
    <font>
      <b/>
      <color rgb="FFB91C1C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991B1B"/>
      </patternFill>
    </fill>
    <fill>
      <patternFill patternType="solid">
        <fgColor rgb="FFFECACA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6" borderId="0" xfId="0" applyFont="1" applyFill="1"/>
    <xf numFmtId="0" fontId="0" fillId="0" borderId="0" xfId="0" applyAlignment="1">
      <alignment vertical="center"/>
    </xf>
    <xf numFmtId="0" fontId="16" fillId="7" borderId="0" xfId="0" applyFont="1" applyFill="1"/>
    <xf numFmtId="0" fontId="17" fillId="0" borderId="0" xfId="0" applyFont="1"/>
    <xf numFmtId="0" fontId="16" fillId="2" borderId="0" xfId="0" applyFont="1" applyFill="1"/>
    <xf numFmtId="0" fontId="0" fillId="3" borderId="0" xfId="0" applyFill="1"/>
    <xf numFmtId="0" fontId="18" fillId="0" borderId="0" xfId="0" applyFont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5"/>
  <sheetViews>
    <sheetView workbookViewId="0"/>
  </sheetViews>
  <sheetFormatPr defaultRowHeight="15" outlineLevelRow="0" outlineLevelCol="0" x14ac:dyDescent="55"/>
  <cols>
    <col min="2" max="8" width="20" customWidth="1"/>
  </cols>
  <sheetData>
    <row r="2" ht="36" customHeight="1" spans="2:8" x14ac:dyDescent="0.25">
      <c r="B2" s="1" t="s">
        <v>0</v>
      </c>
      <c r="C2" s="1"/>
      <c r="D2" s="1"/>
      <c r="E2" s="1"/>
      <c r="F2" s="1"/>
      <c r="G2" s="1"/>
      <c r="H2" s="1"/>
    </row>
    <row r="3" ht="20" customHeight="1" spans="2:8" x14ac:dyDescent="0.25">
      <c r="B3" s="2" t="s">
        <v>1</v>
      </c>
      <c r="C3" s="2"/>
      <c r="D3" s="2"/>
      <c r="E3" s="2"/>
      <c r="F3" s="2"/>
      <c r="G3" s="2"/>
      <c r="H3" s="2"/>
    </row>
    <row r="4" ht="22" customHeight="1" spans="2:8" x14ac:dyDescent="0.25">
      <c r="B4" s="3" t="s">
        <v>2</v>
      </c>
      <c r="C4" s="3"/>
      <c r="D4" s="3"/>
      <c r="E4" s="3"/>
      <c r="F4" s="3"/>
      <c r="G4" s="3"/>
      <c r="H4" s="3"/>
    </row>
    <row r="6" ht="20" customHeight="1" spans="2:8" x14ac:dyDescent="0.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ht="32" customHeight="1" spans="2:8" x14ac:dyDescent="0.25">
      <c r="B7" s="5">
        <v>60</v>
      </c>
      <c r="C7" s="6">
        <v>57</v>
      </c>
      <c r="D7" s="7">
        <v>0</v>
      </c>
      <c r="E7" s="8">
        <v>3</v>
      </c>
      <c r="F7" s="9" t="s">
        <v>10</v>
      </c>
      <c r="G7" s="10" t="s">
        <v>10</v>
      </c>
      <c r="H7" s="11" t="s">
        <v>11</v>
      </c>
    </row>
    <row r="10" spans="2:5" x14ac:dyDescent="0.25">
      <c r="B10" s="12" t="s">
        <v>12</v>
      </c>
      <c r="E10" s="12" t="s">
        <v>13</v>
      </c>
    </row>
    <row r="11" spans="2:6" x14ac:dyDescent="0.25">
      <c r="B11" s="13" t="s">
        <v>14</v>
      </c>
      <c r="C11" s="14" t="s">
        <v>15</v>
      </c>
      <c r="E11" s="13" t="s">
        <v>16</v>
      </c>
      <c r="F11" s="15">
        <f>COUNTA('Audit Log'!A2:A2000)</f>
      </c>
    </row>
    <row r="12" spans="2:6" x14ac:dyDescent="0.25">
      <c r="B12" s="13" t="s">
        <v>17</v>
      </c>
      <c r="C12" s="14" t="s">
        <v>11</v>
      </c>
      <c r="E12" s="13" t="s">
        <v>18</v>
      </c>
      <c r="F12" s="15">
        <f>COUNTIF('Audit Log'!E2:E2000, "DELIVERED")</f>
      </c>
    </row>
    <row r="13" spans="2:6" x14ac:dyDescent="0.25">
      <c r="B13" s="13" t="s">
        <v>19</v>
      </c>
      <c r="C13" s="14" t="s">
        <v>20</v>
      </c>
      <c r="E13" s="13" t="s">
        <v>21</v>
      </c>
      <c r="F13" s="15">
        <f>COUNTIF('Audit Log'!G2:G2000, true)</f>
      </c>
    </row>
    <row r="14" spans="2:6" x14ac:dyDescent="0.25">
      <c r="B14" s="13" t="s">
        <v>22</v>
      </c>
      <c r="C14" s="14" t="s">
        <v>23</v>
      </c>
      <c r="E14" s="13" t="s">
        <v>24</v>
      </c>
      <c r="F14" s="15">
        <f>COUNTIF('Audit Log'!E2:E2000, "FAILED_BREACH")</f>
      </c>
    </row>
    <row r="15" spans="2:3" x14ac:dyDescent="0.25">
      <c r="B15" s="13" t="s">
        <v>25</v>
      </c>
      <c r="C15" s="14" t="s">
        <v>26</v>
      </c>
    </row>
  </sheetData>
  <mergeCells count="3">
    <mergeCell ref="B2:H2"/>
    <mergeCell ref="B3:H3"/>
    <mergeCell ref="B4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28" customWidth="1"/>
    <col min="2" max="2" width="18" customWidth="1"/>
    <col min="3" max="3" width="14" customWidth="1"/>
    <col min="4" max="7" width="16" customWidth="1"/>
    <col min="8" max="10" width="12" customWidth="1"/>
  </cols>
  <sheetData>
    <row r="1" ht="26" customHeight="1" spans="1:10" s="16" customFormat="1" x14ac:dyDescent="0.25">
      <c r="A1" s="16" t="s">
        <v>27</v>
      </c>
      <c r="B1" s="16" t="s">
        <v>28</v>
      </c>
      <c r="C1" s="16" t="s">
        <v>29</v>
      </c>
      <c r="D1" s="16" t="s">
        <v>30</v>
      </c>
      <c r="E1" s="16" t="s">
        <v>31</v>
      </c>
      <c r="F1" s="16" t="s">
        <v>32</v>
      </c>
      <c r="G1" s="16" t="s">
        <v>33</v>
      </c>
      <c r="H1" s="16" t="s">
        <v>34</v>
      </c>
      <c r="I1" s="16" t="s">
        <v>35</v>
      </c>
      <c r="J1" s="16" t="s">
        <v>36</v>
      </c>
    </row>
    <row r="2" spans="1:10" s="17" customFormat="1" x14ac:dyDescent="0.25">
      <c r="A2" s="17" t="s">
        <v>37</v>
      </c>
      <c r="B2" s="17">
        <v>14</v>
      </c>
      <c r="C2" s="17">
        <v>13</v>
      </c>
      <c r="D2" s="17">
        <v>1</v>
      </c>
      <c r="E2" s="17">
        <v>1</v>
      </c>
      <c r="F2" s="17" t="s">
        <v>38</v>
      </c>
      <c r="G2" s="17" t="s">
        <v>38</v>
      </c>
      <c r="H2" s="17">
        <v>68</v>
      </c>
      <c r="I2" s="17">
        <v>102</v>
      </c>
      <c r="J2" s="17">
        <v>102</v>
      </c>
    </row>
    <row r="3" spans="1:10" s="17" customFormat="1" x14ac:dyDescent="0.25">
      <c r="A3" s="17" t="s">
        <v>39</v>
      </c>
      <c r="B3" s="17">
        <v>14</v>
      </c>
      <c r="C3" s="17">
        <v>14</v>
      </c>
      <c r="D3" s="17">
        <v>0</v>
      </c>
      <c r="E3" s="17">
        <v>0</v>
      </c>
      <c r="F3" s="17" t="s">
        <v>40</v>
      </c>
      <c r="G3" s="17" t="s">
        <v>40</v>
      </c>
      <c r="H3" s="17">
        <v>99</v>
      </c>
      <c r="I3" s="17">
        <v>233</v>
      </c>
      <c r="J3" s="17">
        <v>233</v>
      </c>
    </row>
    <row r="4" spans="1:10" s="17" customFormat="1" x14ac:dyDescent="0.25">
      <c r="A4" s="17" t="s">
        <v>41</v>
      </c>
      <c r="B4" s="17">
        <v>19</v>
      </c>
      <c r="C4" s="17">
        <v>18</v>
      </c>
      <c r="D4" s="17">
        <v>1</v>
      </c>
      <c r="E4" s="17">
        <v>1</v>
      </c>
      <c r="F4" s="17" t="s">
        <v>42</v>
      </c>
      <c r="G4" s="17" t="s">
        <v>42</v>
      </c>
      <c r="H4" s="17">
        <v>49</v>
      </c>
      <c r="I4" s="17">
        <v>165</v>
      </c>
      <c r="J4" s="17">
        <v>165</v>
      </c>
    </row>
    <row r="5" spans="1:10" s="17" customFormat="1" x14ac:dyDescent="0.25">
      <c r="A5" s="17" t="s">
        <v>43</v>
      </c>
      <c r="B5" s="17">
        <v>13</v>
      </c>
      <c r="C5" s="17">
        <v>12</v>
      </c>
      <c r="D5" s="17">
        <v>1</v>
      </c>
      <c r="E5" s="17">
        <v>1</v>
      </c>
      <c r="F5" s="17" t="s">
        <v>44</v>
      </c>
      <c r="G5" s="17" t="s">
        <v>44</v>
      </c>
      <c r="H5" s="17">
        <v>150</v>
      </c>
      <c r="I5" s="17">
        <v>184</v>
      </c>
      <c r="J5" s="17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8" customWidth="1"/>
    <col min="2" max="2" width="20" customWidth="1"/>
    <col min="3" max="3" width="26" customWidth="1"/>
    <col min="4" max="5" width="16" customWidth="1"/>
    <col min="6" max="6" width="45" customWidth="1"/>
    <col min="7" max="7" width="16" customWidth="1"/>
    <col min="8" max="8" width="24" customWidth="1"/>
  </cols>
  <sheetData>
    <row r="1" ht="26" customHeight="1" spans="1:8" s="18" customFormat="1" x14ac:dyDescent="0.25">
      <c r="A1" s="18" t="s">
        <v>45</v>
      </c>
      <c r="B1" s="18" t="s">
        <v>46</v>
      </c>
      <c r="C1" s="18" t="s">
        <v>47</v>
      </c>
      <c r="D1" s="18" t="s">
        <v>48</v>
      </c>
      <c r="E1" s="18" t="s">
        <v>49</v>
      </c>
      <c r="F1" s="18" t="s">
        <v>50</v>
      </c>
      <c r="G1" s="18" t="s">
        <v>51</v>
      </c>
      <c r="H1" s="18" t="s">
        <v>52</v>
      </c>
    </row>
    <row r="2" spans="1:8" s="19" customFormat="1" x14ac:dyDescent="0.25">
      <c r="A2" s="19" t="s">
        <v>53</v>
      </c>
      <c r="B2" s="19" t="s">
        <v>54</v>
      </c>
      <c r="C2" s="19" t="s">
        <v>55</v>
      </c>
      <c r="D2" s="19" t="s">
        <v>53</v>
      </c>
      <c r="E2" s="19">
        <v>0</v>
      </c>
      <c r="F2" s="19" t="s">
        <v>56</v>
      </c>
      <c r="G2" s="19" t="s">
        <v>57</v>
      </c>
      <c r="H2" s="19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FormatPr defaultRowHeight="15" outlineLevelRow="0" outlineLevelCol="0" x14ac:dyDescent="55"/>
  <cols>
    <col min="1" max="1" width="16" customWidth="1"/>
    <col min="2" max="2" width="20" customWidth="1"/>
    <col min="3" max="3" width="16" customWidth="1"/>
    <col min="4" max="4" width="10" customWidth="1"/>
    <col min="5" max="5" width="16" customWidth="1"/>
    <col min="6" max="6" width="14" customWidth="1"/>
    <col min="7" max="7" width="12" customWidth="1"/>
    <col min="8" max="8" width="26" customWidth="1"/>
    <col min="9" max="9" width="24" customWidth="1"/>
    <col min="10" max="12" width="18" customWidth="1"/>
    <col min="13" max="13" width="24" customWidth="1"/>
  </cols>
  <sheetData>
    <row r="1" ht="26" customHeight="1" spans="1:13" s="20" customFormat="1" x14ac:dyDescent="0.25">
      <c r="A1" s="20" t="s">
        <v>59</v>
      </c>
      <c r="B1" s="20" t="s">
        <v>46</v>
      </c>
      <c r="C1" s="20" t="s">
        <v>60</v>
      </c>
      <c r="D1" s="20" t="s">
        <v>61</v>
      </c>
      <c r="E1" s="20" t="s">
        <v>62</v>
      </c>
      <c r="F1" s="20" t="s">
        <v>63</v>
      </c>
      <c r="G1" s="20" t="s">
        <v>64</v>
      </c>
      <c r="H1" s="20" t="s">
        <v>27</v>
      </c>
      <c r="I1" s="20" t="s">
        <v>65</v>
      </c>
      <c r="J1" s="20" t="s">
        <v>66</v>
      </c>
      <c r="K1" s="20" t="s">
        <v>67</v>
      </c>
      <c r="L1" s="20" t="s">
        <v>68</v>
      </c>
      <c r="M1" s="20" t="s">
        <v>69</v>
      </c>
    </row>
    <row r="2" spans="1:13" x14ac:dyDescent="0.25">
      <c r="A2" t="s">
        <v>70</v>
      </c>
      <c r="B2" t="s">
        <v>71</v>
      </c>
      <c r="D2" t="s">
        <v>72</v>
      </c>
      <c r="E2" t="s">
        <v>4</v>
      </c>
      <c r="F2">
        <v>76</v>
      </c>
      <c r="G2" s="21" t="b">
        <v>1</v>
      </c>
      <c r="H2" t="s">
        <v>37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</row>
    <row r="3" spans="1:13" x14ac:dyDescent="0.25">
      <c r="A3" t="s">
        <v>78</v>
      </c>
      <c r="B3" t="s">
        <v>79</v>
      </c>
      <c r="D3" t="s">
        <v>80</v>
      </c>
      <c r="E3" t="s">
        <v>4</v>
      </c>
      <c r="F3">
        <v>48</v>
      </c>
      <c r="G3" s="21" t="b">
        <v>1</v>
      </c>
      <c r="H3" t="s">
        <v>37</v>
      </c>
      <c r="I3" t="s">
        <v>81</v>
      </c>
      <c r="J3" t="s">
        <v>82</v>
      </c>
      <c r="K3" t="s">
        <v>76</v>
      </c>
      <c r="L3" t="s">
        <v>83</v>
      </c>
      <c r="M3" t="s">
        <v>84</v>
      </c>
    </row>
    <row r="4" spans="1:13" x14ac:dyDescent="0.25">
      <c r="A4" t="s">
        <v>85</v>
      </c>
      <c r="B4" t="s">
        <v>86</v>
      </c>
      <c r="D4" t="s">
        <v>87</v>
      </c>
      <c r="E4" t="s">
        <v>4</v>
      </c>
      <c r="F4">
        <v>34</v>
      </c>
      <c r="G4" s="21" t="b">
        <v>1</v>
      </c>
      <c r="H4" t="s">
        <v>37</v>
      </c>
      <c r="I4" t="s">
        <v>88</v>
      </c>
      <c r="J4" t="s">
        <v>89</v>
      </c>
      <c r="K4" t="s">
        <v>83</v>
      </c>
      <c r="L4" t="s">
        <v>90</v>
      </c>
      <c r="M4" t="s">
        <v>91</v>
      </c>
    </row>
    <row r="5" spans="1:13" x14ac:dyDescent="0.25">
      <c r="A5" t="s">
        <v>92</v>
      </c>
      <c r="B5" t="s">
        <v>93</v>
      </c>
      <c r="D5" t="s">
        <v>72</v>
      </c>
      <c r="E5" t="s">
        <v>4</v>
      </c>
      <c r="F5">
        <v>50</v>
      </c>
      <c r="G5" s="21" t="b">
        <v>1</v>
      </c>
      <c r="H5" t="s">
        <v>39</v>
      </c>
      <c r="I5" t="s">
        <v>94</v>
      </c>
      <c r="J5" t="s">
        <v>95</v>
      </c>
      <c r="K5" t="s">
        <v>90</v>
      </c>
      <c r="L5" t="s">
        <v>96</v>
      </c>
      <c r="M5" t="s">
        <v>97</v>
      </c>
    </row>
    <row r="6" spans="1:13" x14ac:dyDescent="0.25">
      <c r="A6" t="s">
        <v>98</v>
      </c>
      <c r="B6" t="s">
        <v>99</v>
      </c>
      <c r="D6" t="s">
        <v>87</v>
      </c>
      <c r="E6" t="s">
        <v>4</v>
      </c>
      <c r="F6">
        <v>83</v>
      </c>
      <c r="G6" s="21" t="b">
        <v>1</v>
      </c>
      <c r="H6" t="s">
        <v>41</v>
      </c>
      <c r="I6" t="s">
        <v>100</v>
      </c>
      <c r="J6" t="s">
        <v>101</v>
      </c>
      <c r="K6" t="s">
        <v>96</v>
      </c>
      <c r="L6" t="s">
        <v>102</v>
      </c>
      <c r="M6" t="s">
        <v>103</v>
      </c>
    </row>
    <row r="7" spans="1:13" x14ac:dyDescent="0.25">
      <c r="A7" t="s">
        <v>104</v>
      </c>
      <c r="B7" t="s">
        <v>105</v>
      </c>
      <c r="D7" t="s">
        <v>80</v>
      </c>
      <c r="E7" t="s">
        <v>4</v>
      </c>
      <c r="F7">
        <v>83</v>
      </c>
      <c r="G7" s="21" t="b">
        <v>1</v>
      </c>
      <c r="H7" t="s">
        <v>43</v>
      </c>
      <c r="I7" t="s">
        <v>106</v>
      </c>
      <c r="J7" t="s">
        <v>107</v>
      </c>
      <c r="K7" t="s">
        <v>102</v>
      </c>
      <c r="L7" t="s">
        <v>108</v>
      </c>
      <c r="M7" t="s">
        <v>109</v>
      </c>
    </row>
    <row r="8" spans="1:13" x14ac:dyDescent="0.25">
      <c r="A8" t="s">
        <v>110</v>
      </c>
      <c r="B8" t="s">
        <v>111</v>
      </c>
      <c r="D8" t="s">
        <v>80</v>
      </c>
      <c r="E8" t="s">
        <v>4</v>
      </c>
      <c r="F8">
        <v>166</v>
      </c>
      <c r="G8" s="21" t="b">
        <v>1</v>
      </c>
      <c r="H8" t="s">
        <v>43</v>
      </c>
      <c r="I8" t="s">
        <v>112</v>
      </c>
      <c r="J8" t="s">
        <v>113</v>
      </c>
      <c r="K8" t="s">
        <v>108</v>
      </c>
      <c r="L8" t="s">
        <v>114</v>
      </c>
      <c r="M8" t="s">
        <v>115</v>
      </c>
    </row>
    <row r="9" spans="1:13" x14ac:dyDescent="0.25">
      <c r="A9" t="s">
        <v>116</v>
      </c>
      <c r="B9" t="s">
        <v>117</v>
      </c>
      <c r="D9" t="s">
        <v>80</v>
      </c>
      <c r="E9" t="s">
        <v>4</v>
      </c>
      <c r="F9">
        <v>165</v>
      </c>
      <c r="G9" s="21" t="b">
        <v>1</v>
      </c>
      <c r="H9" t="s">
        <v>43</v>
      </c>
      <c r="I9" t="s">
        <v>118</v>
      </c>
      <c r="J9" t="s">
        <v>119</v>
      </c>
      <c r="K9" t="s">
        <v>114</v>
      </c>
      <c r="L9" t="s">
        <v>120</v>
      </c>
      <c r="M9" t="s">
        <v>121</v>
      </c>
    </row>
    <row r="10" spans="1:13" x14ac:dyDescent="0.25">
      <c r="A10" t="s">
        <v>122</v>
      </c>
      <c r="B10" t="s">
        <v>123</v>
      </c>
      <c r="D10" t="s">
        <v>87</v>
      </c>
      <c r="E10" t="s">
        <v>4</v>
      </c>
      <c r="F10">
        <v>150</v>
      </c>
      <c r="G10" s="21" t="b">
        <v>1</v>
      </c>
      <c r="H10" t="s">
        <v>43</v>
      </c>
      <c r="I10" t="s">
        <v>124</v>
      </c>
      <c r="J10" t="s">
        <v>125</v>
      </c>
      <c r="K10" t="s">
        <v>120</v>
      </c>
      <c r="L10" t="s">
        <v>126</v>
      </c>
      <c r="M10" t="s">
        <v>127</v>
      </c>
    </row>
    <row r="11" spans="1:13" x14ac:dyDescent="0.25">
      <c r="A11" t="s">
        <v>128</v>
      </c>
      <c r="B11" t="s">
        <v>129</v>
      </c>
      <c r="D11" t="s">
        <v>87</v>
      </c>
      <c r="E11" t="s">
        <v>4</v>
      </c>
      <c r="F11">
        <v>151</v>
      </c>
      <c r="G11" s="21" t="b">
        <v>1</v>
      </c>
      <c r="H11" t="s">
        <v>43</v>
      </c>
      <c r="I11" t="s">
        <v>130</v>
      </c>
      <c r="J11" t="s">
        <v>131</v>
      </c>
      <c r="K11" t="s">
        <v>126</v>
      </c>
      <c r="L11" t="s">
        <v>132</v>
      </c>
      <c r="M11" t="s">
        <v>133</v>
      </c>
    </row>
    <row r="12" spans="1:13" x14ac:dyDescent="0.25">
      <c r="A12" t="s">
        <v>134</v>
      </c>
      <c r="B12" t="s">
        <v>135</v>
      </c>
      <c r="D12" t="s">
        <v>87</v>
      </c>
      <c r="E12" t="s">
        <v>4</v>
      </c>
      <c r="F12">
        <v>33</v>
      </c>
      <c r="G12" s="21" t="b">
        <v>1</v>
      </c>
      <c r="H12" t="s">
        <v>41</v>
      </c>
      <c r="I12" t="s">
        <v>136</v>
      </c>
      <c r="J12" t="s">
        <v>137</v>
      </c>
      <c r="K12" t="s">
        <v>132</v>
      </c>
      <c r="L12" t="s">
        <v>138</v>
      </c>
      <c r="M12" t="s">
        <v>139</v>
      </c>
    </row>
    <row r="13" spans="1:13" x14ac:dyDescent="0.25">
      <c r="A13" t="s">
        <v>140</v>
      </c>
      <c r="B13" t="s">
        <v>141</v>
      </c>
      <c r="D13" t="s">
        <v>87</v>
      </c>
      <c r="E13" t="s">
        <v>4</v>
      </c>
      <c r="F13">
        <v>184</v>
      </c>
      <c r="G13" s="21" t="b">
        <v>1</v>
      </c>
      <c r="H13" t="s">
        <v>43</v>
      </c>
      <c r="I13" t="s">
        <v>142</v>
      </c>
      <c r="J13" t="s">
        <v>143</v>
      </c>
      <c r="K13" t="s">
        <v>138</v>
      </c>
      <c r="L13" t="s">
        <v>144</v>
      </c>
      <c r="M13" t="s">
        <v>145</v>
      </c>
    </row>
    <row r="14" spans="1:13" x14ac:dyDescent="0.25">
      <c r="A14" t="s">
        <v>146</v>
      </c>
      <c r="B14" t="s">
        <v>147</v>
      </c>
      <c r="D14" t="s">
        <v>72</v>
      </c>
      <c r="E14" t="s">
        <v>4</v>
      </c>
      <c r="F14">
        <v>49</v>
      </c>
      <c r="G14" s="21" t="b">
        <v>1</v>
      </c>
      <c r="H14" t="s">
        <v>41</v>
      </c>
      <c r="I14" t="s">
        <v>148</v>
      </c>
      <c r="J14" t="s">
        <v>149</v>
      </c>
      <c r="K14" t="s">
        <v>144</v>
      </c>
      <c r="L14" t="s">
        <v>150</v>
      </c>
      <c r="M14" t="s">
        <v>151</v>
      </c>
    </row>
    <row r="15" spans="1:13" x14ac:dyDescent="0.25">
      <c r="A15" t="s">
        <v>152</v>
      </c>
      <c r="B15" t="s">
        <v>153</v>
      </c>
      <c r="D15" t="s">
        <v>80</v>
      </c>
      <c r="E15" t="s">
        <v>4</v>
      </c>
      <c r="F15">
        <v>49</v>
      </c>
      <c r="G15" s="21" t="b">
        <v>1</v>
      </c>
      <c r="H15" t="s">
        <v>41</v>
      </c>
      <c r="I15" t="s">
        <v>154</v>
      </c>
      <c r="J15" t="s">
        <v>155</v>
      </c>
      <c r="K15" t="s">
        <v>150</v>
      </c>
      <c r="L15" t="s">
        <v>156</v>
      </c>
      <c r="M15" t="s">
        <v>157</v>
      </c>
    </row>
    <row r="16" spans="1:13" x14ac:dyDescent="0.25">
      <c r="A16" t="s">
        <v>158</v>
      </c>
      <c r="B16" t="s">
        <v>159</v>
      </c>
      <c r="D16" t="s">
        <v>72</v>
      </c>
      <c r="E16" t="s">
        <v>4</v>
      </c>
      <c r="F16">
        <v>51</v>
      </c>
      <c r="G16" s="21" t="b">
        <v>1</v>
      </c>
      <c r="H16" t="s">
        <v>37</v>
      </c>
      <c r="I16" t="s">
        <v>160</v>
      </c>
      <c r="J16" t="s">
        <v>161</v>
      </c>
      <c r="K16" t="s">
        <v>156</v>
      </c>
      <c r="L16" t="s">
        <v>162</v>
      </c>
      <c r="M16" t="s">
        <v>163</v>
      </c>
    </row>
    <row r="17" spans="1:13" x14ac:dyDescent="0.25">
      <c r="A17" t="s">
        <v>164</v>
      </c>
      <c r="B17" t="s">
        <v>165</v>
      </c>
      <c r="D17" t="s">
        <v>87</v>
      </c>
      <c r="E17" t="s">
        <v>4</v>
      </c>
      <c r="F17">
        <v>132</v>
      </c>
      <c r="G17" s="21" t="b">
        <v>1</v>
      </c>
      <c r="H17" t="s">
        <v>39</v>
      </c>
      <c r="I17" t="s">
        <v>166</v>
      </c>
      <c r="J17" t="s">
        <v>167</v>
      </c>
      <c r="K17" t="s">
        <v>162</v>
      </c>
      <c r="L17" t="s">
        <v>168</v>
      </c>
      <c r="M17" t="s">
        <v>169</v>
      </c>
    </row>
    <row r="18" spans="1:13" x14ac:dyDescent="0.25">
      <c r="A18" t="s">
        <v>170</v>
      </c>
      <c r="B18" t="s">
        <v>171</v>
      </c>
      <c r="D18" t="s">
        <v>80</v>
      </c>
      <c r="E18" t="s">
        <v>4</v>
      </c>
      <c r="F18">
        <v>50</v>
      </c>
      <c r="G18" s="21" t="b">
        <v>1</v>
      </c>
      <c r="H18" t="s">
        <v>41</v>
      </c>
      <c r="I18" t="s">
        <v>172</v>
      </c>
      <c r="J18" t="s">
        <v>173</v>
      </c>
      <c r="K18" t="s">
        <v>168</v>
      </c>
      <c r="L18" t="s">
        <v>174</v>
      </c>
      <c r="M18" t="s">
        <v>175</v>
      </c>
    </row>
    <row r="19" spans="1:13" x14ac:dyDescent="0.25">
      <c r="A19" t="s">
        <v>176</v>
      </c>
      <c r="B19" t="s">
        <v>177</v>
      </c>
      <c r="D19" t="s">
        <v>87</v>
      </c>
      <c r="E19" s="22" t="s">
        <v>178</v>
      </c>
      <c r="F19">
        <v>1</v>
      </c>
      <c r="G19" s="23" t="b">
        <v>0</v>
      </c>
      <c r="H19" t="s">
        <v>41</v>
      </c>
      <c r="I19" t="s">
        <v>53</v>
      </c>
      <c r="J19" t="s">
        <v>179</v>
      </c>
      <c r="K19" t="s">
        <v>174</v>
      </c>
      <c r="L19" t="s">
        <v>180</v>
      </c>
      <c r="M19" t="s">
        <v>181</v>
      </c>
    </row>
    <row r="20" spans="1:13" x14ac:dyDescent="0.25">
      <c r="A20" t="s">
        <v>182</v>
      </c>
      <c r="B20" t="s">
        <v>183</v>
      </c>
      <c r="D20" t="s">
        <v>80</v>
      </c>
      <c r="E20" t="s">
        <v>4</v>
      </c>
      <c r="F20">
        <v>165</v>
      </c>
      <c r="G20" s="21" t="b">
        <v>1</v>
      </c>
      <c r="H20" t="s">
        <v>43</v>
      </c>
      <c r="I20" t="s">
        <v>184</v>
      </c>
      <c r="J20" t="s">
        <v>185</v>
      </c>
      <c r="K20" t="s">
        <v>180</v>
      </c>
      <c r="L20" t="s">
        <v>186</v>
      </c>
      <c r="M20" t="s">
        <v>187</v>
      </c>
    </row>
    <row r="21" spans="1:13" x14ac:dyDescent="0.25">
      <c r="A21" t="s">
        <v>188</v>
      </c>
      <c r="B21" t="s">
        <v>189</v>
      </c>
      <c r="D21" t="s">
        <v>80</v>
      </c>
      <c r="E21" t="s">
        <v>4</v>
      </c>
      <c r="F21">
        <v>99</v>
      </c>
      <c r="G21" s="21" t="b">
        <v>1</v>
      </c>
      <c r="H21" t="s">
        <v>39</v>
      </c>
      <c r="I21" t="s">
        <v>190</v>
      </c>
      <c r="J21" t="s">
        <v>191</v>
      </c>
      <c r="K21" t="s">
        <v>186</v>
      </c>
      <c r="L21" t="s">
        <v>192</v>
      </c>
      <c r="M21" t="s">
        <v>193</v>
      </c>
    </row>
    <row r="22" spans="1:13" x14ac:dyDescent="0.25">
      <c r="A22" t="s">
        <v>194</v>
      </c>
      <c r="B22" t="s">
        <v>195</v>
      </c>
      <c r="D22" t="s">
        <v>72</v>
      </c>
      <c r="E22" t="s">
        <v>4</v>
      </c>
      <c r="F22">
        <v>165</v>
      </c>
      <c r="G22" s="21" t="b">
        <v>1</v>
      </c>
      <c r="H22" t="s">
        <v>41</v>
      </c>
      <c r="I22" t="s">
        <v>196</v>
      </c>
      <c r="J22" t="s">
        <v>197</v>
      </c>
      <c r="K22" t="s">
        <v>192</v>
      </c>
      <c r="L22" t="s">
        <v>198</v>
      </c>
      <c r="M22" t="s">
        <v>199</v>
      </c>
    </row>
    <row r="23" spans="1:13" x14ac:dyDescent="0.25">
      <c r="A23" t="s">
        <v>200</v>
      </c>
      <c r="B23" t="s">
        <v>201</v>
      </c>
      <c r="D23" t="s">
        <v>80</v>
      </c>
      <c r="E23" t="s">
        <v>4</v>
      </c>
      <c r="F23">
        <v>151</v>
      </c>
      <c r="G23" s="21" t="b">
        <v>1</v>
      </c>
      <c r="H23" t="s">
        <v>43</v>
      </c>
      <c r="I23" t="s">
        <v>202</v>
      </c>
      <c r="J23" t="s">
        <v>203</v>
      </c>
      <c r="K23" t="s">
        <v>198</v>
      </c>
      <c r="L23" t="s">
        <v>204</v>
      </c>
      <c r="M23" t="s">
        <v>205</v>
      </c>
    </row>
    <row r="24" spans="1:13" x14ac:dyDescent="0.25">
      <c r="A24" t="s">
        <v>206</v>
      </c>
      <c r="B24" t="s">
        <v>207</v>
      </c>
      <c r="D24" t="s">
        <v>87</v>
      </c>
      <c r="E24" t="s">
        <v>4</v>
      </c>
      <c r="F24">
        <v>68</v>
      </c>
      <c r="G24" s="21" t="b">
        <v>1</v>
      </c>
      <c r="H24" t="s">
        <v>41</v>
      </c>
      <c r="I24" t="s">
        <v>208</v>
      </c>
      <c r="J24" t="s">
        <v>209</v>
      </c>
      <c r="K24" t="s">
        <v>204</v>
      </c>
      <c r="L24" t="s">
        <v>210</v>
      </c>
      <c r="M24" t="s">
        <v>211</v>
      </c>
    </row>
    <row r="25" spans="1:13" x14ac:dyDescent="0.25">
      <c r="A25" t="s">
        <v>212</v>
      </c>
      <c r="B25" t="s">
        <v>213</v>
      </c>
      <c r="D25" t="s">
        <v>87</v>
      </c>
      <c r="E25" t="s">
        <v>4</v>
      </c>
      <c r="F25">
        <v>49</v>
      </c>
      <c r="G25" s="21" t="b">
        <v>1</v>
      </c>
      <c r="H25" t="s">
        <v>41</v>
      </c>
      <c r="I25" t="s">
        <v>214</v>
      </c>
      <c r="J25" t="s">
        <v>215</v>
      </c>
      <c r="K25" t="s">
        <v>210</v>
      </c>
      <c r="L25" t="s">
        <v>216</v>
      </c>
      <c r="M25" t="s">
        <v>217</v>
      </c>
    </row>
    <row r="26" spans="1:13" x14ac:dyDescent="0.25">
      <c r="A26" t="s">
        <v>218</v>
      </c>
      <c r="B26" t="s">
        <v>219</v>
      </c>
      <c r="D26" t="s">
        <v>72</v>
      </c>
      <c r="E26" t="s">
        <v>4</v>
      </c>
      <c r="F26">
        <v>99</v>
      </c>
      <c r="G26" s="21" t="b">
        <v>1</v>
      </c>
      <c r="H26" t="s">
        <v>39</v>
      </c>
      <c r="I26" t="s">
        <v>220</v>
      </c>
      <c r="J26" t="s">
        <v>221</v>
      </c>
      <c r="K26" t="s">
        <v>216</v>
      </c>
      <c r="L26" t="s">
        <v>222</v>
      </c>
      <c r="M26" t="s">
        <v>223</v>
      </c>
    </row>
    <row r="27" spans="1:13" x14ac:dyDescent="0.25">
      <c r="A27" t="s">
        <v>224</v>
      </c>
      <c r="B27" t="s">
        <v>225</v>
      </c>
      <c r="D27" t="s">
        <v>80</v>
      </c>
      <c r="E27" t="s">
        <v>4</v>
      </c>
      <c r="F27">
        <v>48</v>
      </c>
      <c r="G27" s="21" t="b">
        <v>1</v>
      </c>
      <c r="H27" t="s">
        <v>37</v>
      </c>
      <c r="I27" t="s">
        <v>226</v>
      </c>
      <c r="J27" t="s">
        <v>227</v>
      </c>
      <c r="K27" t="s">
        <v>222</v>
      </c>
      <c r="L27" t="s">
        <v>228</v>
      </c>
      <c r="M27" t="s">
        <v>229</v>
      </c>
    </row>
    <row r="28" spans="1:13" x14ac:dyDescent="0.25">
      <c r="A28" t="s">
        <v>230</v>
      </c>
      <c r="B28" t="s">
        <v>231</v>
      </c>
      <c r="D28" t="s">
        <v>72</v>
      </c>
      <c r="E28" t="s">
        <v>4</v>
      </c>
      <c r="F28">
        <v>117</v>
      </c>
      <c r="G28" s="21" t="b">
        <v>1</v>
      </c>
      <c r="H28" t="s">
        <v>39</v>
      </c>
      <c r="I28" t="s">
        <v>232</v>
      </c>
      <c r="J28" t="s">
        <v>233</v>
      </c>
      <c r="K28" t="s">
        <v>228</v>
      </c>
      <c r="L28" t="s">
        <v>234</v>
      </c>
      <c r="M28" t="s">
        <v>235</v>
      </c>
    </row>
    <row r="29" spans="1:13" x14ac:dyDescent="0.25">
      <c r="A29" t="s">
        <v>236</v>
      </c>
      <c r="B29" t="s">
        <v>237</v>
      </c>
      <c r="D29" t="s">
        <v>80</v>
      </c>
      <c r="E29" t="s">
        <v>4</v>
      </c>
      <c r="F29">
        <v>126</v>
      </c>
      <c r="G29" s="21" t="b">
        <v>1</v>
      </c>
      <c r="H29" t="s">
        <v>43</v>
      </c>
      <c r="I29" t="s">
        <v>238</v>
      </c>
      <c r="J29" t="s">
        <v>239</v>
      </c>
      <c r="K29" t="s">
        <v>234</v>
      </c>
      <c r="L29" t="s">
        <v>240</v>
      </c>
      <c r="M29" t="s">
        <v>241</v>
      </c>
    </row>
    <row r="30" spans="1:13" x14ac:dyDescent="0.25">
      <c r="A30" t="s">
        <v>242</v>
      </c>
      <c r="B30" t="s">
        <v>243</v>
      </c>
      <c r="D30" t="s">
        <v>87</v>
      </c>
      <c r="E30" t="s">
        <v>4</v>
      </c>
      <c r="F30">
        <v>91</v>
      </c>
      <c r="G30" s="21" t="b">
        <v>1</v>
      </c>
      <c r="H30" t="s">
        <v>39</v>
      </c>
      <c r="I30" t="s">
        <v>244</v>
      </c>
      <c r="J30" t="s">
        <v>245</v>
      </c>
      <c r="K30" t="s">
        <v>240</v>
      </c>
      <c r="L30" t="s">
        <v>246</v>
      </c>
      <c r="M30" t="s">
        <v>247</v>
      </c>
    </row>
    <row r="31" spans="1:13" x14ac:dyDescent="0.25">
      <c r="A31" t="s">
        <v>248</v>
      </c>
      <c r="B31" t="s">
        <v>249</v>
      </c>
      <c r="D31" t="s">
        <v>80</v>
      </c>
      <c r="E31" t="s">
        <v>4</v>
      </c>
      <c r="F31">
        <v>115</v>
      </c>
      <c r="G31" s="21" t="b">
        <v>1</v>
      </c>
      <c r="H31" t="s">
        <v>39</v>
      </c>
      <c r="I31" t="s">
        <v>250</v>
      </c>
      <c r="J31" t="s">
        <v>251</v>
      </c>
      <c r="K31" t="s">
        <v>246</v>
      </c>
      <c r="L31" t="s">
        <v>252</v>
      </c>
      <c r="M31" t="s">
        <v>253</v>
      </c>
    </row>
    <row r="32" spans="1:13" x14ac:dyDescent="0.25">
      <c r="A32" t="s">
        <v>254</v>
      </c>
      <c r="B32" t="s">
        <v>255</v>
      </c>
      <c r="D32" t="s">
        <v>80</v>
      </c>
      <c r="E32" t="s">
        <v>4</v>
      </c>
      <c r="F32">
        <v>84</v>
      </c>
      <c r="G32" s="21" t="b">
        <v>1</v>
      </c>
      <c r="H32" t="s">
        <v>37</v>
      </c>
      <c r="I32" t="s">
        <v>256</v>
      </c>
      <c r="J32" t="s">
        <v>257</v>
      </c>
      <c r="K32" t="s">
        <v>252</v>
      </c>
      <c r="L32" t="s">
        <v>258</v>
      </c>
      <c r="M32" t="s">
        <v>259</v>
      </c>
    </row>
    <row r="33" spans="1:13" x14ac:dyDescent="0.25">
      <c r="A33" t="s">
        <v>260</v>
      </c>
      <c r="B33" t="s">
        <v>261</v>
      </c>
      <c r="D33" t="s">
        <v>80</v>
      </c>
      <c r="E33" t="s">
        <v>4</v>
      </c>
      <c r="F33">
        <v>101</v>
      </c>
      <c r="G33" s="21" t="b">
        <v>1</v>
      </c>
      <c r="H33" t="s">
        <v>39</v>
      </c>
      <c r="I33" t="s">
        <v>262</v>
      </c>
      <c r="J33" t="s">
        <v>263</v>
      </c>
      <c r="K33" t="s">
        <v>258</v>
      </c>
      <c r="L33" t="s">
        <v>264</v>
      </c>
      <c r="M33" t="s">
        <v>265</v>
      </c>
    </row>
    <row r="34" spans="1:13" x14ac:dyDescent="0.25">
      <c r="A34" t="s">
        <v>266</v>
      </c>
      <c r="B34" t="s">
        <v>267</v>
      </c>
      <c r="D34" t="s">
        <v>72</v>
      </c>
      <c r="E34" t="s">
        <v>4</v>
      </c>
      <c r="F34">
        <v>31</v>
      </c>
      <c r="G34" s="21" t="b">
        <v>1</v>
      </c>
      <c r="H34" t="s">
        <v>41</v>
      </c>
      <c r="I34" t="s">
        <v>268</v>
      </c>
      <c r="J34" t="s">
        <v>269</v>
      </c>
      <c r="K34" t="s">
        <v>264</v>
      </c>
      <c r="L34" t="s">
        <v>270</v>
      </c>
      <c r="M34" t="s">
        <v>271</v>
      </c>
    </row>
    <row r="35" spans="1:13" x14ac:dyDescent="0.25">
      <c r="A35" t="s">
        <v>272</v>
      </c>
      <c r="B35" t="s">
        <v>273</v>
      </c>
      <c r="D35" t="s">
        <v>80</v>
      </c>
      <c r="E35" t="s">
        <v>4</v>
      </c>
      <c r="F35">
        <v>85</v>
      </c>
      <c r="G35" s="21" t="b">
        <v>1</v>
      </c>
      <c r="H35" t="s">
        <v>43</v>
      </c>
      <c r="I35" t="s">
        <v>274</v>
      </c>
      <c r="J35" t="s">
        <v>275</v>
      </c>
      <c r="K35" t="s">
        <v>270</v>
      </c>
      <c r="L35" t="s">
        <v>276</v>
      </c>
      <c r="M35" t="s">
        <v>277</v>
      </c>
    </row>
    <row r="36" spans="1:13" x14ac:dyDescent="0.25">
      <c r="A36" t="s">
        <v>278</v>
      </c>
      <c r="B36" t="s">
        <v>279</v>
      </c>
      <c r="D36" t="s">
        <v>80</v>
      </c>
      <c r="E36" t="s">
        <v>4</v>
      </c>
      <c r="F36">
        <v>65</v>
      </c>
      <c r="G36" s="21" t="b">
        <v>1</v>
      </c>
      <c r="H36" t="s">
        <v>41</v>
      </c>
      <c r="I36" t="s">
        <v>280</v>
      </c>
      <c r="J36" t="s">
        <v>281</v>
      </c>
      <c r="K36" t="s">
        <v>276</v>
      </c>
      <c r="L36" t="s">
        <v>282</v>
      </c>
      <c r="M36" t="s">
        <v>283</v>
      </c>
    </row>
    <row r="37" spans="1:13" x14ac:dyDescent="0.25">
      <c r="A37" t="s">
        <v>284</v>
      </c>
      <c r="B37" t="s">
        <v>285</v>
      </c>
      <c r="D37" t="s">
        <v>80</v>
      </c>
      <c r="E37" s="22" t="s">
        <v>178</v>
      </c>
      <c r="F37">
        <v>0</v>
      </c>
      <c r="G37" s="23" t="b">
        <v>0</v>
      </c>
      <c r="H37" t="s">
        <v>37</v>
      </c>
      <c r="I37" t="s">
        <v>53</v>
      </c>
      <c r="J37" t="s">
        <v>179</v>
      </c>
      <c r="K37" t="s">
        <v>282</v>
      </c>
      <c r="L37" t="s">
        <v>286</v>
      </c>
      <c r="M37" t="s">
        <v>283</v>
      </c>
    </row>
    <row r="38" spans="1:13" x14ac:dyDescent="0.25">
      <c r="A38" t="s">
        <v>287</v>
      </c>
      <c r="B38" t="s">
        <v>288</v>
      </c>
      <c r="D38" t="s">
        <v>72</v>
      </c>
      <c r="E38" t="s">
        <v>4</v>
      </c>
      <c r="F38">
        <v>133</v>
      </c>
      <c r="G38" s="21" t="b">
        <v>1</v>
      </c>
      <c r="H38" t="s">
        <v>39</v>
      </c>
      <c r="I38" t="s">
        <v>289</v>
      </c>
      <c r="J38" t="s">
        <v>290</v>
      </c>
      <c r="K38" t="s">
        <v>286</v>
      </c>
      <c r="L38" t="s">
        <v>291</v>
      </c>
      <c r="M38" t="s">
        <v>292</v>
      </c>
    </row>
    <row r="39" spans="1:13" x14ac:dyDescent="0.25">
      <c r="A39" t="s">
        <v>293</v>
      </c>
      <c r="B39" t="s">
        <v>294</v>
      </c>
      <c r="D39" t="s">
        <v>72</v>
      </c>
      <c r="E39" t="s">
        <v>4</v>
      </c>
      <c r="F39">
        <v>49</v>
      </c>
      <c r="G39" s="21" t="b">
        <v>1</v>
      </c>
      <c r="H39" t="s">
        <v>41</v>
      </c>
      <c r="I39" t="s">
        <v>295</v>
      </c>
      <c r="J39" t="s">
        <v>296</v>
      </c>
      <c r="K39" t="s">
        <v>291</v>
      </c>
      <c r="L39" t="s">
        <v>297</v>
      </c>
      <c r="M39" t="s">
        <v>298</v>
      </c>
    </row>
    <row r="40" spans="1:13" x14ac:dyDescent="0.25">
      <c r="A40" t="s">
        <v>299</v>
      </c>
      <c r="B40" t="s">
        <v>300</v>
      </c>
      <c r="D40" t="s">
        <v>72</v>
      </c>
      <c r="E40" t="s">
        <v>4</v>
      </c>
      <c r="F40">
        <v>66</v>
      </c>
      <c r="G40" s="21" t="b">
        <v>1</v>
      </c>
      <c r="H40" t="s">
        <v>39</v>
      </c>
      <c r="I40" t="s">
        <v>301</v>
      </c>
      <c r="J40" t="s">
        <v>302</v>
      </c>
      <c r="K40" t="s">
        <v>297</v>
      </c>
      <c r="L40" t="s">
        <v>303</v>
      </c>
      <c r="M40" t="s">
        <v>304</v>
      </c>
    </row>
    <row r="41" spans="1:13" x14ac:dyDescent="0.25">
      <c r="A41" t="s">
        <v>305</v>
      </c>
      <c r="B41" t="s">
        <v>306</v>
      </c>
      <c r="D41" t="s">
        <v>80</v>
      </c>
      <c r="E41" t="s">
        <v>4</v>
      </c>
      <c r="F41">
        <v>34</v>
      </c>
      <c r="G41" s="21" t="b">
        <v>1</v>
      </c>
      <c r="H41" t="s">
        <v>41</v>
      </c>
      <c r="I41" t="s">
        <v>307</v>
      </c>
      <c r="J41" t="s">
        <v>308</v>
      </c>
      <c r="K41" t="s">
        <v>303</v>
      </c>
      <c r="L41" t="s">
        <v>309</v>
      </c>
      <c r="M41" t="s">
        <v>310</v>
      </c>
    </row>
    <row r="42" spans="1:13" x14ac:dyDescent="0.25">
      <c r="A42" t="s">
        <v>311</v>
      </c>
      <c r="B42" t="s">
        <v>312</v>
      </c>
      <c r="D42" t="s">
        <v>87</v>
      </c>
      <c r="E42" t="s">
        <v>4</v>
      </c>
      <c r="F42">
        <v>83</v>
      </c>
      <c r="G42" s="21" t="b">
        <v>1</v>
      </c>
      <c r="H42" t="s">
        <v>37</v>
      </c>
      <c r="I42" t="s">
        <v>313</v>
      </c>
      <c r="J42" t="s">
        <v>314</v>
      </c>
      <c r="K42" t="s">
        <v>309</v>
      </c>
      <c r="L42" t="s">
        <v>315</v>
      </c>
      <c r="M42" t="s">
        <v>316</v>
      </c>
    </row>
    <row r="43" spans="1:13" x14ac:dyDescent="0.25">
      <c r="A43" t="s">
        <v>317</v>
      </c>
      <c r="B43" t="s">
        <v>318</v>
      </c>
      <c r="D43" t="s">
        <v>87</v>
      </c>
      <c r="E43" t="s">
        <v>4</v>
      </c>
      <c r="F43">
        <v>49</v>
      </c>
      <c r="G43" s="21" t="b">
        <v>1</v>
      </c>
      <c r="H43" t="s">
        <v>37</v>
      </c>
      <c r="I43" t="s">
        <v>319</v>
      </c>
      <c r="J43" t="s">
        <v>320</v>
      </c>
      <c r="K43" t="s">
        <v>315</v>
      </c>
      <c r="L43" t="s">
        <v>321</v>
      </c>
      <c r="M43" t="s">
        <v>322</v>
      </c>
    </row>
    <row r="44" spans="1:13" x14ac:dyDescent="0.25">
      <c r="A44" t="s">
        <v>323</v>
      </c>
      <c r="B44" t="s">
        <v>324</v>
      </c>
      <c r="D44" t="s">
        <v>87</v>
      </c>
      <c r="E44" t="s">
        <v>4</v>
      </c>
      <c r="F44">
        <v>47</v>
      </c>
      <c r="G44" s="21" t="b">
        <v>1</v>
      </c>
      <c r="H44" t="s">
        <v>41</v>
      </c>
      <c r="I44" t="s">
        <v>325</v>
      </c>
      <c r="J44" t="s">
        <v>326</v>
      </c>
      <c r="K44" t="s">
        <v>321</v>
      </c>
      <c r="L44" t="s">
        <v>327</v>
      </c>
      <c r="M44" t="s">
        <v>328</v>
      </c>
    </row>
    <row r="45" spans="1:13" x14ac:dyDescent="0.25">
      <c r="A45" t="s">
        <v>329</v>
      </c>
      <c r="B45" t="s">
        <v>330</v>
      </c>
      <c r="D45" t="s">
        <v>80</v>
      </c>
      <c r="E45" t="s">
        <v>4</v>
      </c>
      <c r="F45">
        <v>68</v>
      </c>
      <c r="G45" s="21" t="b">
        <v>1</v>
      </c>
      <c r="H45" t="s">
        <v>37</v>
      </c>
      <c r="I45" t="s">
        <v>331</v>
      </c>
      <c r="J45" t="s">
        <v>332</v>
      </c>
      <c r="K45" t="s">
        <v>327</v>
      </c>
      <c r="L45" t="s">
        <v>333</v>
      </c>
      <c r="M45" t="s">
        <v>334</v>
      </c>
    </row>
    <row r="46" spans="1:13" x14ac:dyDescent="0.25">
      <c r="A46" t="s">
        <v>335</v>
      </c>
      <c r="B46" t="s">
        <v>336</v>
      </c>
      <c r="D46" t="s">
        <v>80</v>
      </c>
      <c r="E46" t="s">
        <v>4</v>
      </c>
      <c r="F46">
        <v>66</v>
      </c>
      <c r="G46" s="21" t="b">
        <v>1</v>
      </c>
      <c r="H46" t="s">
        <v>41</v>
      </c>
      <c r="I46" t="s">
        <v>337</v>
      </c>
      <c r="J46" t="s">
        <v>338</v>
      </c>
      <c r="K46" t="s">
        <v>333</v>
      </c>
      <c r="L46" t="s">
        <v>339</v>
      </c>
      <c r="M46" t="s">
        <v>340</v>
      </c>
    </row>
    <row r="47" spans="1:13" x14ac:dyDescent="0.25">
      <c r="A47" t="s">
        <v>341</v>
      </c>
      <c r="B47" t="s">
        <v>342</v>
      </c>
      <c r="D47" t="s">
        <v>80</v>
      </c>
      <c r="E47" t="s">
        <v>4</v>
      </c>
      <c r="F47">
        <v>233</v>
      </c>
      <c r="G47" s="21" t="b">
        <v>1</v>
      </c>
      <c r="H47" t="s">
        <v>39</v>
      </c>
      <c r="I47" t="s">
        <v>343</v>
      </c>
      <c r="J47" t="s">
        <v>344</v>
      </c>
      <c r="K47" t="s">
        <v>339</v>
      </c>
      <c r="L47" t="s">
        <v>345</v>
      </c>
      <c r="M47" t="s">
        <v>346</v>
      </c>
    </row>
    <row r="48" spans="1:13" x14ac:dyDescent="0.25">
      <c r="A48" t="s">
        <v>347</v>
      </c>
      <c r="B48" t="s">
        <v>348</v>
      </c>
      <c r="D48" t="s">
        <v>87</v>
      </c>
      <c r="E48" t="s">
        <v>4</v>
      </c>
      <c r="F48">
        <v>68</v>
      </c>
      <c r="G48" s="21" t="b">
        <v>1</v>
      </c>
      <c r="H48" t="s">
        <v>39</v>
      </c>
      <c r="I48" t="s">
        <v>349</v>
      </c>
      <c r="J48" t="s">
        <v>350</v>
      </c>
      <c r="K48" t="s">
        <v>345</v>
      </c>
      <c r="L48" t="s">
        <v>351</v>
      </c>
      <c r="M48" t="s">
        <v>352</v>
      </c>
    </row>
    <row r="49" spans="1:13" x14ac:dyDescent="0.25">
      <c r="A49" t="s">
        <v>353</v>
      </c>
      <c r="B49" t="s">
        <v>354</v>
      </c>
      <c r="D49" t="s">
        <v>80</v>
      </c>
      <c r="E49" t="s">
        <v>4</v>
      </c>
      <c r="F49">
        <v>70</v>
      </c>
      <c r="G49" s="21" t="b">
        <v>1</v>
      </c>
      <c r="H49" t="s">
        <v>37</v>
      </c>
      <c r="I49" t="s">
        <v>355</v>
      </c>
      <c r="J49" t="s">
        <v>356</v>
      </c>
      <c r="K49" t="s">
        <v>351</v>
      </c>
      <c r="L49" t="s">
        <v>357</v>
      </c>
      <c r="M49" t="s">
        <v>358</v>
      </c>
    </row>
    <row r="50" spans="1:13" x14ac:dyDescent="0.25">
      <c r="A50" t="s">
        <v>359</v>
      </c>
      <c r="B50" t="s">
        <v>360</v>
      </c>
      <c r="D50" t="s">
        <v>80</v>
      </c>
      <c r="E50" t="s">
        <v>4</v>
      </c>
      <c r="F50">
        <v>79</v>
      </c>
      <c r="G50" s="21" t="b">
        <v>1</v>
      </c>
      <c r="H50" t="s">
        <v>41</v>
      </c>
      <c r="I50" t="s">
        <v>361</v>
      </c>
      <c r="J50" t="s">
        <v>362</v>
      </c>
      <c r="K50" t="s">
        <v>357</v>
      </c>
      <c r="L50" t="s">
        <v>363</v>
      </c>
      <c r="M50" t="s">
        <v>364</v>
      </c>
    </row>
    <row r="51" spans="1:13" x14ac:dyDescent="0.25">
      <c r="A51" t="s">
        <v>365</v>
      </c>
      <c r="B51" t="s">
        <v>366</v>
      </c>
      <c r="D51" t="s">
        <v>80</v>
      </c>
      <c r="E51" t="s">
        <v>4</v>
      </c>
      <c r="F51">
        <v>102</v>
      </c>
      <c r="G51" s="21" t="b">
        <v>1</v>
      </c>
      <c r="H51" t="s">
        <v>43</v>
      </c>
      <c r="I51" t="s">
        <v>367</v>
      </c>
      <c r="J51" t="s">
        <v>368</v>
      </c>
      <c r="K51" t="s">
        <v>363</v>
      </c>
      <c r="L51" t="s">
        <v>369</v>
      </c>
      <c r="M51" t="s">
        <v>370</v>
      </c>
    </row>
    <row r="52" spans="1:13" x14ac:dyDescent="0.25">
      <c r="A52" t="s">
        <v>371</v>
      </c>
      <c r="B52" t="s">
        <v>372</v>
      </c>
      <c r="D52" t="s">
        <v>80</v>
      </c>
      <c r="E52" t="s">
        <v>4</v>
      </c>
      <c r="F52">
        <v>81</v>
      </c>
      <c r="G52" s="21" t="b">
        <v>1</v>
      </c>
      <c r="H52" t="s">
        <v>37</v>
      </c>
      <c r="I52" t="s">
        <v>373</v>
      </c>
      <c r="J52" t="s">
        <v>374</v>
      </c>
      <c r="K52" t="s">
        <v>369</v>
      </c>
      <c r="L52" t="s">
        <v>375</v>
      </c>
      <c r="M52" t="s">
        <v>376</v>
      </c>
    </row>
    <row r="53" spans="1:13" x14ac:dyDescent="0.25">
      <c r="A53" t="s">
        <v>377</v>
      </c>
      <c r="B53" t="s">
        <v>378</v>
      </c>
      <c r="D53" t="s">
        <v>87</v>
      </c>
      <c r="E53" t="s">
        <v>4</v>
      </c>
      <c r="F53">
        <v>33</v>
      </c>
      <c r="G53" s="21" t="b">
        <v>1</v>
      </c>
      <c r="H53" t="s">
        <v>41</v>
      </c>
      <c r="I53" t="s">
        <v>379</v>
      </c>
      <c r="J53" t="s">
        <v>380</v>
      </c>
      <c r="K53" t="s">
        <v>375</v>
      </c>
      <c r="L53" t="s">
        <v>381</v>
      </c>
      <c r="M53" t="s">
        <v>382</v>
      </c>
    </row>
    <row r="54" spans="1:13" x14ac:dyDescent="0.25">
      <c r="A54" t="s">
        <v>383</v>
      </c>
      <c r="B54" t="s">
        <v>384</v>
      </c>
      <c r="D54" t="s">
        <v>80</v>
      </c>
      <c r="E54" t="s">
        <v>4</v>
      </c>
      <c r="F54">
        <v>102</v>
      </c>
      <c r="G54" s="21" t="b">
        <v>1</v>
      </c>
      <c r="H54" t="s">
        <v>37</v>
      </c>
      <c r="I54" t="s">
        <v>385</v>
      </c>
      <c r="J54" t="s">
        <v>386</v>
      </c>
      <c r="K54" t="s">
        <v>381</v>
      </c>
      <c r="L54" t="s">
        <v>387</v>
      </c>
      <c r="M54" t="s">
        <v>388</v>
      </c>
    </row>
    <row r="55" spans="1:13" x14ac:dyDescent="0.25">
      <c r="A55" t="s">
        <v>389</v>
      </c>
      <c r="B55" t="s">
        <v>390</v>
      </c>
      <c r="D55" t="s">
        <v>72</v>
      </c>
      <c r="E55" s="22" t="s">
        <v>178</v>
      </c>
      <c r="F55">
        <v>0</v>
      </c>
      <c r="G55" s="23" t="b">
        <v>0</v>
      </c>
      <c r="H55" t="s">
        <v>43</v>
      </c>
      <c r="I55" t="s">
        <v>53</v>
      </c>
      <c r="J55" t="s">
        <v>179</v>
      </c>
      <c r="K55" t="s">
        <v>387</v>
      </c>
      <c r="L55" t="s">
        <v>391</v>
      </c>
      <c r="M55" t="s">
        <v>388</v>
      </c>
    </row>
    <row r="56" spans="1:13" x14ac:dyDescent="0.25">
      <c r="A56" t="s">
        <v>392</v>
      </c>
      <c r="B56" t="s">
        <v>393</v>
      </c>
      <c r="D56" t="s">
        <v>72</v>
      </c>
      <c r="E56" t="s">
        <v>4</v>
      </c>
      <c r="F56">
        <v>65</v>
      </c>
      <c r="G56" s="21" t="b">
        <v>1</v>
      </c>
      <c r="H56" t="s">
        <v>39</v>
      </c>
      <c r="I56" t="s">
        <v>394</v>
      </c>
      <c r="J56" t="s">
        <v>395</v>
      </c>
      <c r="K56" t="s">
        <v>391</v>
      </c>
      <c r="L56" t="s">
        <v>396</v>
      </c>
      <c r="M56" t="s">
        <v>397</v>
      </c>
    </row>
    <row r="57" spans="1:13" x14ac:dyDescent="0.25">
      <c r="A57" t="s">
        <v>398</v>
      </c>
      <c r="B57" t="s">
        <v>399</v>
      </c>
      <c r="D57" t="s">
        <v>87</v>
      </c>
      <c r="E57" t="s">
        <v>4</v>
      </c>
      <c r="F57">
        <v>99</v>
      </c>
      <c r="G57" s="21" t="b">
        <v>1</v>
      </c>
      <c r="H57" t="s">
        <v>43</v>
      </c>
      <c r="I57" t="s">
        <v>400</v>
      </c>
      <c r="J57" t="s">
        <v>401</v>
      </c>
      <c r="K57" t="s">
        <v>396</v>
      </c>
      <c r="L57" t="s">
        <v>402</v>
      </c>
      <c r="M57" t="s">
        <v>403</v>
      </c>
    </row>
    <row r="58" spans="1:13" x14ac:dyDescent="0.25">
      <c r="A58" t="s">
        <v>404</v>
      </c>
      <c r="B58" t="s">
        <v>405</v>
      </c>
      <c r="D58" t="s">
        <v>80</v>
      </c>
      <c r="E58" t="s">
        <v>4</v>
      </c>
      <c r="F58">
        <v>81</v>
      </c>
      <c r="G58" s="21" t="b">
        <v>1</v>
      </c>
      <c r="H58" t="s">
        <v>39</v>
      </c>
      <c r="I58" t="s">
        <v>406</v>
      </c>
      <c r="J58" t="s">
        <v>407</v>
      </c>
      <c r="K58" t="s">
        <v>402</v>
      </c>
      <c r="L58" t="s">
        <v>408</v>
      </c>
      <c r="M58" t="s">
        <v>409</v>
      </c>
    </row>
    <row r="59" spans="1:13" x14ac:dyDescent="0.25">
      <c r="A59" t="s">
        <v>410</v>
      </c>
      <c r="B59" t="s">
        <v>411</v>
      </c>
      <c r="D59" t="s">
        <v>80</v>
      </c>
      <c r="E59" t="s">
        <v>4</v>
      </c>
      <c r="F59">
        <v>34</v>
      </c>
      <c r="G59" s="21" t="b">
        <v>1</v>
      </c>
      <c r="H59" t="s">
        <v>41</v>
      </c>
      <c r="I59" t="s">
        <v>412</v>
      </c>
      <c r="J59" t="s">
        <v>413</v>
      </c>
      <c r="K59" t="s">
        <v>408</v>
      </c>
      <c r="L59" t="s">
        <v>414</v>
      </c>
      <c r="M59" t="s">
        <v>415</v>
      </c>
    </row>
    <row r="60" spans="1:13" x14ac:dyDescent="0.25">
      <c r="A60" t="s">
        <v>416</v>
      </c>
      <c r="B60" t="s">
        <v>417</v>
      </c>
      <c r="D60" t="s">
        <v>80</v>
      </c>
      <c r="E60" t="s">
        <v>4</v>
      </c>
      <c r="F60">
        <v>68</v>
      </c>
      <c r="G60" s="21" t="b">
        <v>1</v>
      </c>
      <c r="H60" t="s">
        <v>37</v>
      </c>
      <c r="I60" t="s">
        <v>418</v>
      </c>
      <c r="J60" t="s">
        <v>419</v>
      </c>
      <c r="K60" t="s">
        <v>414</v>
      </c>
      <c r="L60" t="s">
        <v>420</v>
      </c>
      <c r="M60" t="s">
        <v>421</v>
      </c>
    </row>
    <row r="61" spans="1:13" x14ac:dyDescent="0.25">
      <c r="A61" t="s">
        <v>422</v>
      </c>
      <c r="B61" t="s">
        <v>423</v>
      </c>
      <c r="D61" t="s">
        <v>87</v>
      </c>
      <c r="E61" t="s">
        <v>4</v>
      </c>
      <c r="F61">
        <v>81</v>
      </c>
      <c r="G61" s="21" t="b">
        <v>1</v>
      </c>
      <c r="H61" t="s">
        <v>41</v>
      </c>
      <c r="I61" t="s">
        <v>424</v>
      </c>
      <c r="J61" t="s">
        <v>425</v>
      </c>
      <c r="K61" t="s">
        <v>420</v>
      </c>
      <c r="L61" t="s">
        <v>426</v>
      </c>
      <c r="M61" t="s">
        <v>427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Dashboard</vt:lpstr>
      <vt:lpstr>Partner Performance</vt:lpstr>
      <vt:lpstr>DLQ &amp; Exceptions</vt:lpstr>
      <vt:lpstr>Audit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Operational Reporting &amp; Document Distribution Engine</dc:creator>
  <dc:title/>
  <dc:subject/>
  <dc:description/>
  <cp:keywords/>
  <cp:category/>
  <cp:lastModifiedBy>Unknown</cp:lastModifiedBy>
  <dcterms:created xsi:type="dcterms:W3CDTF">2026-10-16T18:10:04Z</dcterms:created>
  <dcterms:modified xsi:type="dcterms:W3CDTF">2026-10-16T18:10:04Z</dcterms:modified>
</cp:coreProperties>
</file>