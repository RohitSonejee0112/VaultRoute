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Partner Performance" state="visible" r:id="rId5"/>
    <sheet sheetId="3" name="DLQ &amp; Exceptions" state="visible" r:id="rId6"/>
    <sheet sheetId="4" name="Audit Log" state="visible" r:id="rId7"/>
  </sheets>
  <calcPr calcId="171027"/>
</workbook>
</file>

<file path=xl/sharedStrings.xml><?xml version="1.0" encoding="utf-8"?>
<sst xmlns="http://schemas.openxmlformats.org/spreadsheetml/2006/main" count="1282" uniqueCount="700">
  <si>
    <t>OPERATIONAL REPORTING &amp; DOCUMENT DISTRIBUTION DASHBOARD</t>
  </si>
  <si>
    <t>Profile: [BLACK-SWAN-OUTAGE] | Generated: 16/10/2026, 8:10:24 pm | Tamper Verification: PASSED (Cryptographically Bound)</t>
  </si>
  <si>
    <t>🔒 Tamper-Evident Audit Chain: 100% Verified across 100 entries. Hash chaining intact.</t>
  </si>
  <si>
    <t>TOTAL VOLUME</t>
  </si>
  <si>
    <t>DELIVERED</t>
  </si>
  <si>
    <t>FAILED / DLQ</t>
  </si>
  <si>
    <t>REJECTED (ABAC)</t>
  </si>
  <si>
    <t>SUCCESS RATE</t>
  </si>
  <si>
    <t>SLA ADHERENCE</t>
  </si>
  <si>
    <t>P95 LATENCY</t>
  </si>
  <si>
    <t>65%</t>
  </si>
  <si>
    <t>216 ms</t>
  </si>
  <si>
    <t>Tail Latency Distribution (Milliseconds):</t>
  </si>
  <si>
    <t>Automated Spreadsheet Formulas:</t>
  </si>
  <si>
    <t>p50 (Median)</t>
  </si>
  <si>
    <t>82 ms</t>
  </si>
  <si>
    <t>Total Processed (Excel Formula):</t>
  </si>
  <si>
    <t>p95 Latency</t>
  </si>
  <si>
    <t>Total Successful Deliveries:</t>
  </si>
  <si>
    <t>p99 Latency (Tail Spikes)</t>
  </si>
  <si>
    <t>916 ms</t>
  </si>
  <si>
    <t>SLA Adherence Count:</t>
  </si>
  <si>
    <t>Mean Average Latency</t>
  </si>
  <si>
    <t>112.7 ms</t>
  </si>
  <si>
    <t>DLQ Enqueued Breaches:</t>
  </si>
  <si>
    <t>Min / Max Bounds</t>
  </si>
  <si>
    <t>0 ms / 1904 ms</t>
  </si>
  <si>
    <t>Partner Key</t>
  </si>
  <si>
    <t>Total Dispatched</t>
  </si>
  <si>
    <t>Delivered</t>
  </si>
  <si>
    <t>Failed / Drops</t>
  </si>
  <si>
    <t>SLA Breaches</t>
  </si>
  <si>
    <t>Success %</t>
  </si>
  <si>
    <t>SLA Met %</t>
  </si>
  <si>
    <t>p50 (ms)</t>
  </si>
  <si>
    <t>p95 (ms)</t>
  </si>
  <si>
    <t>p99 (ms)</t>
  </si>
  <si>
    <t>UNDERWRITING_PARTNER</t>
  </si>
  <si>
    <t>0%</t>
  </si>
  <si>
    <t>LEGAL_COMPLIANCE</t>
  </si>
  <si>
    <t>90.5%</t>
  </si>
  <si>
    <t>CLIENT_PORTAL_GATEWAY</t>
  </si>
  <si>
    <t>94.7%</t>
  </si>
  <si>
    <t>WEALTH_MGMT_CORE</t>
  </si>
  <si>
    <t>96.6%</t>
  </si>
  <si>
    <t>DLQ Entry ID</t>
  </si>
  <si>
    <t>Request ID</t>
  </si>
  <si>
    <t>Target Partner</t>
  </si>
  <si>
    <t>Last State</t>
  </si>
  <si>
    <t>Retries Attempted</t>
  </si>
  <si>
    <t>Failure Root Cause</t>
  </si>
  <si>
    <t>Replay Status</t>
  </si>
  <si>
    <t>Failed At Timestamp</t>
  </si>
  <si>
    <t>DLQ-8A9FC23D</t>
  </si>
  <si>
    <t>REQ-BLA-1001</t>
  </si>
  <si>
    <t>FAILED_BREACH</t>
  </si>
  <si>
    <t>Downstream partner [Underwriting Services Exchange] service degraded or timed out.</t>
  </si>
  <si>
    <t>REPLAYED</t>
  </si>
  <si>
    <t>2026-10-16T18:10:15.221Z</t>
  </si>
  <si>
    <t>DLQ-75A29F46</t>
  </si>
  <si>
    <t>REQ-BLA-1006</t>
  </si>
  <si>
    <t>Circuit Breaker is OPEN for partner [UNDERWRITING_PARTNER]. Fail-fast engaged.</t>
  </si>
  <si>
    <t>2026-10-16T18:10:16.141Z</t>
  </si>
  <si>
    <t>DLQ-9C737967</t>
  </si>
  <si>
    <t>REQ-BLA-1012</t>
  </si>
  <si>
    <t>2026-10-16T18:10:16.846Z</t>
  </si>
  <si>
    <t>DLQ-3B6A4A0C</t>
  </si>
  <si>
    <t>REQ-BLA-1014</t>
  </si>
  <si>
    <t>PENDING_RETRY</t>
  </si>
  <si>
    <t>2026-10-16T18:10:17.020Z</t>
  </si>
  <si>
    <t>DLQ-B96D2DEB</t>
  </si>
  <si>
    <t>REQ-BLA-1015</t>
  </si>
  <si>
    <t>2026-10-16T18:10:17.051Z</t>
  </si>
  <si>
    <t>DLQ-7B57FA99</t>
  </si>
  <si>
    <t>REQ-BLA-1021</t>
  </si>
  <si>
    <t>2026-10-16T18:10:17.519Z</t>
  </si>
  <si>
    <t>DLQ-2C6293B6</t>
  </si>
  <si>
    <t>REQ-BLA-1023</t>
  </si>
  <si>
    <t>2026-10-16T18:10:17.673Z</t>
  </si>
  <si>
    <t>DLQ-B2667266</t>
  </si>
  <si>
    <t>REQ-BLA-1025</t>
  </si>
  <si>
    <t>2026-10-16T18:10:17.737Z</t>
  </si>
  <si>
    <t>DLQ-0021CEC8</t>
  </si>
  <si>
    <t>REQ-BLA-1026</t>
  </si>
  <si>
    <t>2026-10-16T18:10:17.847Z</t>
  </si>
  <si>
    <t>DLQ-EAD367DE</t>
  </si>
  <si>
    <t>REQ-BLA-1027</t>
  </si>
  <si>
    <t>2026-10-16T18:10:17.910Z</t>
  </si>
  <si>
    <t>DLQ-E8BD4A8A</t>
  </si>
  <si>
    <t>REQ-BLA-1030</t>
  </si>
  <si>
    <t>2026-10-16T18:10:18.141Z</t>
  </si>
  <si>
    <t>DLQ-25DCA664</t>
  </si>
  <si>
    <t>REQ-BLA-1035</t>
  </si>
  <si>
    <t>2026-10-16T18:10:18.596Z</t>
  </si>
  <si>
    <t>DLQ-F6551C41</t>
  </si>
  <si>
    <t>REQ-BLA-1040</t>
  </si>
  <si>
    <t>2026-10-16T18:10:18.815Z</t>
  </si>
  <si>
    <t>DLQ-209FB508</t>
  </si>
  <si>
    <t>REQ-BLA-1042</t>
  </si>
  <si>
    <t>2026-10-16T18:10:19.050Z</t>
  </si>
  <si>
    <t>DLQ-0A4694A4</t>
  </si>
  <si>
    <t>REQ-BLA-1049</t>
  </si>
  <si>
    <t>2026-10-16T18:10:19.794Z</t>
  </si>
  <si>
    <t>DLQ-0AA8E0EE</t>
  </si>
  <si>
    <t>REQ-BLA-1052</t>
  </si>
  <si>
    <t>2026-10-16T18:10:19.995Z</t>
  </si>
  <si>
    <t>DLQ-32E9C43C</t>
  </si>
  <si>
    <t>REQ-BLA-1053</t>
  </si>
  <si>
    <t>2026-10-16T18:10:20.060Z</t>
  </si>
  <si>
    <t>DLQ-8C437A46</t>
  </si>
  <si>
    <t>REQ-BLA-1055</t>
  </si>
  <si>
    <t>2026-10-16T18:10:20.977Z</t>
  </si>
  <si>
    <t>DLQ-2C8BDEA3</t>
  </si>
  <si>
    <t>REQ-BLA-1057</t>
  </si>
  <si>
    <t>2026-10-16T18:10:21.228Z</t>
  </si>
  <si>
    <t>DLQ-EA1CF621</t>
  </si>
  <si>
    <t>REQ-BLA-1059</t>
  </si>
  <si>
    <t>2026-10-16T18:10:21.360Z</t>
  </si>
  <si>
    <t>DLQ-FCE59707</t>
  </si>
  <si>
    <t>REQ-BLA-1061</t>
  </si>
  <si>
    <t>2026-10-16T18:10:21.519Z</t>
  </si>
  <si>
    <t>DLQ-AB348A28</t>
  </si>
  <si>
    <t>REQ-BLA-1062</t>
  </si>
  <si>
    <t>2026-10-16T18:10:21.551Z</t>
  </si>
  <si>
    <t>DLQ-FB0522B9</t>
  </si>
  <si>
    <t>REQ-BLA-1064</t>
  </si>
  <si>
    <t>2026-10-16T18:10:21.644Z</t>
  </si>
  <si>
    <t>DLQ-2CF85393</t>
  </si>
  <si>
    <t>REQ-BLA-1074</t>
  </si>
  <si>
    <t>2026-10-16T18:10:22.478Z</t>
  </si>
  <si>
    <t>DLQ-B99784E1</t>
  </si>
  <si>
    <t>REQ-BLA-1080</t>
  </si>
  <si>
    <t>2026-10-16T18:10:22.993Z</t>
  </si>
  <si>
    <t>DLQ-CF0C4389</t>
  </si>
  <si>
    <t>REQ-BLA-1082</t>
  </si>
  <si>
    <t>2026-10-16T18:10:23.125Z</t>
  </si>
  <si>
    <t>DLQ-37181AAF</t>
  </si>
  <si>
    <t>REQ-BLA-1091</t>
  </si>
  <si>
    <t>2026-10-16T18:10:23.760Z</t>
  </si>
  <si>
    <t>DLQ-9764AC72</t>
  </si>
  <si>
    <t>REQ-BLA-1092</t>
  </si>
  <si>
    <t>2026-10-16T18:10:23.860Z</t>
  </si>
  <si>
    <t>DLQ-CB1C2767</t>
  </si>
  <si>
    <t>REQ-BLA-1097</t>
  </si>
  <si>
    <t>2026-10-16T18:10:24.444Z</t>
  </si>
  <si>
    <t>DLQ-A08AA715</t>
  </si>
  <si>
    <t>REQ-BLA-1100</t>
  </si>
  <si>
    <t>2026-10-16T18:10:24.627Z</t>
  </si>
  <si>
    <t>Event ID</t>
  </si>
  <si>
    <t>Doc ID</t>
  </si>
  <si>
    <t>Priority</t>
  </si>
  <si>
    <t>Final State</t>
  </si>
  <si>
    <t>Duration (ms)</t>
  </si>
  <si>
    <t>SLA Met?</t>
  </si>
  <si>
    <t>Idempotency Key</t>
  </si>
  <si>
    <t>HMAC (Sig)</t>
  </si>
  <si>
    <t>Prev Block Hash</t>
  </si>
  <si>
    <t>Entry Hash (H_n)</t>
  </si>
  <si>
    <t>Timestamp</t>
  </si>
  <si>
    <t>EVT-BE6EA3A5</t>
  </si>
  <si>
    <t>P2</t>
  </si>
  <si>
    <t>IDEM-3CD213E91915B1B06FD443D5BA640601</t>
  </si>
  <si>
    <t>87978c7f671298...</t>
  </si>
  <si>
    <t>00000000000000...</t>
  </si>
  <si>
    <t>108c11356922df...</t>
  </si>
  <si>
    <t>2026-10-16T18:10:15.222Z</t>
  </si>
  <si>
    <t>EVT-2EEFA7E8</t>
  </si>
  <si>
    <t>REQ-BLA-1002</t>
  </si>
  <si>
    <t>P1</t>
  </si>
  <si>
    <t>IDEM-BC7CDBC11B4EF35F9F9B35F2EA998E88</t>
  </si>
  <si>
    <t>f88e5ab520f236...</t>
  </si>
  <si>
    <t>62c0eefe0c96e4...</t>
  </si>
  <si>
    <t>2026-10-16T18:10:15.520Z</t>
  </si>
  <si>
    <t>EVT-308ADEF4</t>
  </si>
  <si>
    <t>REQ-BLA-1003</t>
  </si>
  <si>
    <t>IDEM-07BEE1B960940A3F01A1BA0ADE0DEB7F</t>
  </si>
  <si>
    <t>096c3120f47793...</t>
  </si>
  <si>
    <t>210ee47d787d7f...</t>
  </si>
  <si>
    <t>2026-10-16T18:10:15.598Z</t>
  </si>
  <si>
    <t>EVT-50FB1637</t>
  </si>
  <si>
    <t>REQ-BLA-1004</t>
  </si>
  <si>
    <t>P3</t>
  </si>
  <si>
    <t>IDEM-48F0FA4183F03BC84711E6BACA1CC7FD</t>
  </si>
  <si>
    <t>5eeee662895399...</t>
  </si>
  <si>
    <t>440d5d847a50d1...</t>
  </si>
  <si>
    <t>2026-10-16T18:10:15.673Z</t>
  </si>
  <si>
    <t>EVT-2C029B0E</t>
  </si>
  <si>
    <t>REQ-BLA-1005</t>
  </si>
  <si>
    <t>IDEM-5C739D490BD8A18E48086C0336C81B90</t>
  </si>
  <si>
    <t>204e142a5fb07e...</t>
  </si>
  <si>
    <t>b1d5841f03756a...</t>
  </si>
  <si>
    <t>2026-10-16T18:10:15.768Z</t>
  </si>
  <si>
    <t>EVT-1AF0DB52</t>
  </si>
  <si>
    <t>IDEM-90E6A63D8BD7884323CB654F16607E96</t>
  </si>
  <si>
    <t>23629b989e0a5e...</t>
  </si>
  <si>
    <t>3fbf53708acbdf...</t>
  </si>
  <si>
    <t>EVT-52298585</t>
  </si>
  <si>
    <t>REQ-BLA-1007</t>
  </si>
  <si>
    <t>IDEM-88AD4515FF12BA7CE2D5FC33471D91CA</t>
  </si>
  <si>
    <t>26628902e5c1e8...</t>
  </si>
  <si>
    <t>e95373c084a27c...</t>
  </si>
  <si>
    <t>2026-10-16T18:10:16.204Z</t>
  </si>
  <si>
    <t>EVT-978C838F</t>
  </si>
  <si>
    <t>REQ-BLA-1008</t>
  </si>
  <si>
    <t>IDEM-9FE70D2BF0E2560A9399B6592AF1A9DE</t>
  </si>
  <si>
    <t>cfea82e91f61ef...</t>
  </si>
  <si>
    <t>7c8aa963ca2b2d...</t>
  </si>
  <si>
    <t>2026-10-16T18:10:16.361Z</t>
  </si>
  <si>
    <t>EVT-D91AA92F</t>
  </si>
  <si>
    <t>REQ-BLA-1009</t>
  </si>
  <si>
    <t>IDEM-8EEED8B7B0417DA0E447CA5922CB0DCA</t>
  </si>
  <si>
    <t>9b65506c493ef9...</t>
  </si>
  <si>
    <t>ee41677df8fd87...</t>
  </si>
  <si>
    <t>2026-10-16T18:10:16.424Z</t>
  </si>
  <si>
    <t>EVT-0D518A68</t>
  </si>
  <si>
    <t>REQ-BLA-1010</t>
  </si>
  <si>
    <t>IDEM-6ACAD5341BB2A9DD59C3A3D66FA263F3</t>
  </si>
  <si>
    <t>9b4e14181d2e83...</t>
  </si>
  <si>
    <t>fa7bcc20fb2e0d...</t>
  </si>
  <si>
    <t>2026-10-16T18:10:16.581Z</t>
  </si>
  <si>
    <t>EVT-77A53B62</t>
  </si>
  <si>
    <t>REQ-BLA-1011</t>
  </si>
  <si>
    <t>IDEM-5EE8C62A755CAFFEE8E3852BBC357E34</t>
  </si>
  <si>
    <t>79353e47c194c1...</t>
  </si>
  <si>
    <t>305ec67be95ae5...</t>
  </si>
  <si>
    <t>2026-10-16T18:10:16.753Z</t>
  </si>
  <si>
    <t>EVT-7CEE2CE4</t>
  </si>
  <si>
    <t>IDEM-84AAD337BBD20D6A422E745F79E3CF61</t>
  </si>
  <si>
    <t>6c381565946c43...</t>
  </si>
  <si>
    <t>9a5395ad858be0...</t>
  </si>
  <si>
    <t>2026-10-16T18:10:16.847Z</t>
  </si>
  <si>
    <t>EVT-EA280C2E</t>
  </si>
  <si>
    <t>REQ-BLA-1013</t>
  </si>
  <si>
    <t>IDEM-F1372E12504BFC671308F501B06C87DE</t>
  </si>
  <si>
    <t>c841b94f441d05...</t>
  </si>
  <si>
    <t>7989a8b63079dd...</t>
  </si>
  <si>
    <t>2026-10-16T18:10:16.894Z</t>
  </si>
  <si>
    <t>EVT-3F0B6F4E</t>
  </si>
  <si>
    <t>IDEM-99932B6C032A651D8AAFD72EEF56BB13</t>
  </si>
  <si>
    <t>5aad970529df72...</t>
  </si>
  <si>
    <t>cdfa219b35b087...</t>
  </si>
  <si>
    <t>EVT-4614BF0B</t>
  </si>
  <si>
    <t>IDEM-3CF312BB856A9155899B5965D9FED80E</t>
  </si>
  <si>
    <t>68dc83b79de062...</t>
  </si>
  <si>
    <t>323a09623c8175...</t>
  </si>
  <si>
    <t>2026-10-16T18:10:17.052Z</t>
  </si>
  <si>
    <t>EVT-C9143A73</t>
  </si>
  <si>
    <t>REQ-BLA-1016</t>
  </si>
  <si>
    <t>IDEM-AF657F2869BB4EFE707C54B1DDF92E7F</t>
  </si>
  <si>
    <t>379ae7fe0fb6da...</t>
  </si>
  <si>
    <t>ca4010148fc087...</t>
  </si>
  <si>
    <t>2026-10-16T18:10:17.109Z</t>
  </si>
  <si>
    <t>EVT-619DE829</t>
  </si>
  <si>
    <t>REQ-BLA-1017</t>
  </si>
  <si>
    <t>IDEM-F782BC21D753FC3C01B5D6201D4AEEAA</t>
  </si>
  <si>
    <t>f2fd9234b9dcd2...</t>
  </si>
  <si>
    <t>b225259e215730...</t>
  </si>
  <si>
    <t>2026-10-16T18:10:17.220Z</t>
  </si>
  <si>
    <t>EVT-0CC7ECBE</t>
  </si>
  <si>
    <t>REQ-BLA-1018</t>
  </si>
  <si>
    <t>REJECTED</t>
  </si>
  <si>
    <t>N/A</t>
  </si>
  <si>
    <t>N/A...</t>
  </si>
  <si>
    <t>ec385796030fff...</t>
  </si>
  <si>
    <t>2026-10-16T18:10:17.221Z</t>
  </si>
  <si>
    <t>EVT-9EF37DFA</t>
  </si>
  <si>
    <t>REQ-BLA-1019</t>
  </si>
  <si>
    <t>IDEM-2C29CCA00B594FEF26AF1A53C7BB75F8</t>
  </si>
  <si>
    <t>76ec008118d785...</t>
  </si>
  <si>
    <t>ac530e8696b1f9...</t>
  </si>
  <si>
    <t>2026-10-16T18:10:17.299Z</t>
  </si>
  <si>
    <t>EVT-FED00525</t>
  </si>
  <si>
    <t>REQ-BLA-1020</t>
  </si>
  <si>
    <t>IDEM-2353D428B3777D620EFD845CBA8697D5</t>
  </si>
  <si>
    <t>c2798f116bdcf4...</t>
  </si>
  <si>
    <t>ea492eaf0558c5...</t>
  </si>
  <si>
    <t>2026-10-16T18:10:17.455Z</t>
  </si>
  <si>
    <t>EVT-01D9EC97</t>
  </si>
  <si>
    <t>IDEM-E5ACF8E6E8B8E20FA45570CB73413A98</t>
  </si>
  <si>
    <t>a39ef1b6c13dde...</t>
  </si>
  <si>
    <t>249e001694e847...</t>
  </si>
  <si>
    <t>EVT-1556A554</t>
  </si>
  <si>
    <t>REQ-BLA-1022</t>
  </si>
  <si>
    <t>IDEM-E44702301E671DE27AEB9B3812223239</t>
  </si>
  <si>
    <t>3c166549a9a427...</t>
  </si>
  <si>
    <t>b8002c6295c6c2...</t>
  </si>
  <si>
    <t>2026-10-16T18:10:17.581Z</t>
  </si>
  <si>
    <t>EVT-1FD31EA3</t>
  </si>
  <si>
    <t>IDEM-E2AC498D7D8C1B489C25D0EFE71B2115</t>
  </si>
  <si>
    <t>91af4195521a81...</t>
  </si>
  <si>
    <t>5097e1f1111c39...</t>
  </si>
  <si>
    <t>EVT-F635E869</t>
  </si>
  <si>
    <t>REQ-BLA-1024</t>
  </si>
  <si>
    <t>IDEM-050E4621AFFE4F32A10CC02AFB9C351F</t>
  </si>
  <si>
    <t>209b96e7d23770...</t>
  </si>
  <si>
    <t>f2891b486873b5...</t>
  </si>
  <si>
    <t>2026-10-16T18:10:17.705Z</t>
  </si>
  <si>
    <t>EVT-CAF89150</t>
  </si>
  <si>
    <t>IDEM-B4A7A6ACFC5BF365828857B6433F8F39</t>
  </si>
  <si>
    <t>554d6724b0eb33...</t>
  </si>
  <si>
    <t>17798c5ee0264f...</t>
  </si>
  <si>
    <t>EVT-D9DEA444</t>
  </si>
  <si>
    <t>IDEM-5EFCDCE0B9D9E8CF942F6421E49A9B85</t>
  </si>
  <si>
    <t>a61829a001e994...</t>
  </si>
  <si>
    <t>369e031c44120c...</t>
  </si>
  <si>
    <t>EVT-09469D73</t>
  </si>
  <si>
    <t>IDEM-772DBA8223058D9855D4C779F8543D0F</t>
  </si>
  <si>
    <t>49378384d1aa3c...</t>
  </si>
  <si>
    <t>47f3aa9be162d7...</t>
  </si>
  <si>
    <t>EVT-EE5A276C</t>
  </si>
  <si>
    <t>REQ-BLA-1028</t>
  </si>
  <si>
    <t>IDEM-45629E74379B8D6405AB0508F483D444</t>
  </si>
  <si>
    <t>1c12125eafc276...</t>
  </si>
  <si>
    <t>a4cca8d7f5059f...</t>
  </si>
  <si>
    <t>2026-10-16T18:10:17.974Z</t>
  </si>
  <si>
    <t>EVT-CEE0017A</t>
  </si>
  <si>
    <t>REQ-BLA-1029</t>
  </si>
  <si>
    <t>IDEM-50F8908CD5922B8DC0765BE29032A4BD</t>
  </si>
  <si>
    <t>684f88be72c6dc...</t>
  </si>
  <si>
    <t>a4810844a6112a...</t>
  </si>
  <si>
    <t>2026-10-16T18:10:18.052Z</t>
  </si>
  <si>
    <t>EVT-5F9F3023</t>
  </si>
  <si>
    <t>IDEM-6C0E5EB86B44E0B169436C1CDDE663B9</t>
  </si>
  <si>
    <t>9a8d3bd50abd11...</t>
  </si>
  <si>
    <t>41009f55d3dd34...</t>
  </si>
  <si>
    <t>EVT-5DFA1294</t>
  </si>
  <si>
    <t>REQ-BLA-1031</t>
  </si>
  <si>
    <t>IDEM-F13F471064ECC1D09B8B6A405ECAE752</t>
  </si>
  <si>
    <t>b6dcd1b20ad012...</t>
  </si>
  <si>
    <t>b666532ab2f5d9...</t>
  </si>
  <si>
    <t>2026-10-16T18:10:18.219Z</t>
  </si>
  <si>
    <t>EVT-F055E64B</t>
  </si>
  <si>
    <t>REQ-BLA-1032</t>
  </si>
  <si>
    <t>IDEM-2BBDEC747EEBED89E3E3E072F79CAF4C</t>
  </si>
  <si>
    <t>925d1227bd0238...</t>
  </si>
  <si>
    <t>1e4e9fff620d54...</t>
  </si>
  <si>
    <t>2026-10-16T18:10:18.328Z</t>
  </si>
  <si>
    <t>EVT-99412962</t>
  </si>
  <si>
    <t>REQ-BLA-1033</t>
  </si>
  <si>
    <t>IDEM-CDF80208F4B752CF47B4D9498F38AE5B</t>
  </si>
  <si>
    <t>d6310693a811be...</t>
  </si>
  <si>
    <t>9629ffc91868ad...</t>
  </si>
  <si>
    <t>2026-10-16T18:10:18.423Z</t>
  </si>
  <si>
    <t>EVT-ED1F5676</t>
  </si>
  <si>
    <t>REQ-BLA-1034</t>
  </si>
  <si>
    <t>IDEM-2A6CEE4266BA137DFE2FBACAFEC46DB0</t>
  </si>
  <si>
    <t>ffae31929d9de5...</t>
  </si>
  <si>
    <t>1ac2ecfa0b36fe...</t>
  </si>
  <si>
    <t>2026-10-16T18:10:18.518Z</t>
  </si>
  <si>
    <t>EVT-0C72C479</t>
  </si>
  <si>
    <t>IDEM-88FDB2565093DF485FAFC3F46E50AB9B</t>
  </si>
  <si>
    <t>fb262d23150daa...</t>
  </si>
  <si>
    <t>9bb6d9c7b4c9de...</t>
  </si>
  <si>
    <t>EVT-412BCC1B</t>
  </si>
  <si>
    <t>REQ-BLA-1036</t>
  </si>
  <si>
    <t>212980ad01f3ce...</t>
  </si>
  <si>
    <t>EVT-A4AC49C7</t>
  </si>
  <si>
    <t>REQ-BLA-1037</t>
  </si>
  <si>
    <t>IDEM-09F380A1338505936F01F3E5AE8531A3</t>
  </si>
  <si>
    <t>ed363e9760480f...</t>
  </si>
  <si>
    <t>3440260a165383...</t>
  </si>
  <si>
    <t>2026-10-16T18:10:18.689Z</t>
  </si>
  <si>
    <t>EVT-12B1CEC6</t>
  </si>
  <si>
    <t>REQ-BLA-1038</t>
  </si>
  <si>
    <t>IDEM-578B32A704E34230C42D852EAA938C7E</t>
  </si>
  <si>
    <t>353286995e9a9e...</t>
  </si>
  <si>
    <t>42e664ec78e0af...</t>
  </si>
  <si>
    <t>2026-10-16T18:10:18.752Z</t>
  </si>
  <si>
    <t>EVT-455F9B9F</t>
  </si>
  <si>
    <t>REQ-BLA-1039</t>
  </si>
  <si>
    <t>IDEM-81E192F20C008708D210C76E256EE1E2</t>
  </si>
  <si>
    <t>685c15b784fedf...</t>
  </si>
  <si>
    <t>e3773492d97c86...</t>
  </si>
  <si>
    <t>2026-10-16T18:10:18.783Z</t>
  </si>
  <si>
    <t>EVT-FABA4879</t>
  </si>
  <si>
    <t>IDEM-C3954D287B3FF36A1E626DD52BF00899</t>
  </si>
  <si>
    <t>a7c4e9875dc4b0...</t>
  </si>
  <si>
    <t>f661904a43050c...</t>
  </si>
  <si>
    <t>EVT-C6396505</t>
  </si>
  <si>
    <t>REQ-BLA-1041</t>
  </si>
  <si>
    <t>IDEM-C9BFD1A812F6E0885C7DF8B7CE14EE4E</t>
  </si>
  <si>
    <t>9aee6f030a4a60...</t>
  </si>
  <si>
    <t>42b363d2a98cdb...</t>
  </si>
  <si>
    <t>2026-10-16T18:10:18.956Z</t>
  </si>
  <si>
    <t>EVT-FF1B5150</t>
  </si>
  <si>
    <t>IDEM-7AE88BC3352E70991A1B0D552580CA5A</t>
  </si>
  <si>
    <t>73eb2ef45e1161...</t>
  </si>
  <si>
    <t>080794adc6822e...</t>
  </si>
  <si>
    <t>2026-10-16T18:10:19.051Z</t>
  </si>
  <si>
    <t>EVT-0E255708</t>
  </si>
  <si>
    <t>REQ-BLA-1043</t>
  </si>
  <si>
    <t>IDEM-C36397209810B51277F8DD66E3424F12</t>
  </si>
  <si>
    <t>82233d999ee75f...</t>
  </si>
  <si>
    <t>e5670986cd53f1...</t>
  </si>
  <si>
    <t>2026-10-16T18:10:19.098Z</t>
  </si>
  <si>
    <t>EVT-099CB0DE</t>
  </si>
  <si>
    <t>REQ-BLA-1044</t>
  </si>
  <si>
    <t>IDEM-9B75DBC0A665ABF51B5FA8C2C0C1D670</t>
  </si>
  <si>
    <t>f99739473477ea...</t>
  </si>
  <si>
    <t>0a595fa3bad7c1...</t>
  </si>
  <si>
    <t>2026-10-16T18:10:19.361Z</t>
  </si>
  <si>
    <t>EVT-264F803F</t>
  </si>
  <si>
    <t>REQ-BLA-1045</t>
  </si>
  <si>
    <t>IDEM-F2920F99C0DB69E5F00C8AAF72A03E37</t>
  </si>
  <si>
    <t>f67829bea79f52...</t>
  </si>
  <si>
    <t>500493b675e77c...</t>
  </si>
  <si>
    <t>2026-10-16T18:10:19.424Z</t>
  </si>
  <si>
    <t>EVT-713EB31F</t>
  </si>
  <si>
    <t>REQ-BLA-1046</t>
  </si>
  <si>
    <t>IDEM-19F3007459997FB5E260E5A70CD926D5</t>
  </si>
  <si>
    <t>6827292a7faadc...</t>
  </si>
  <si>
    <t>ce7a9c1bdadaab...</t>
  </si>
  <si>
    <t>2026-10-16T18:10:19.575Z</t>
  </si>
  <si>
    <t>EVT-8D456B7B</t>
  </si>
  <si>
    <t>REQ-BLA-1047</t>
  </si>
  <si>
    <t>IDEM-F4DECF48277F70858BEE980F9A6A59EA</t>
  </si>
  <si>
    <t>1582e54acdb965...</t>
  </si>
  <si>
    <t>4e578fac2bf753...</t>
  </si>
  <si>
    <t>2026-10-16T18:10:19.660Z</t>
  </si>
  <si>
    <t>EVT-4F7754C6</t>
  </si>
  <si>
    <t>REQ-BLA-1048</t>
  </si>
  <si>
    <t>IDEM-B99161BEE61E9BBC7C69E77FD4289515</t>
  </si>
  <si>
    <t>c31eb8b69cd1cd...</t>
  </si>
  <si>
    <t>5421e4565424e2...</t>
  </si>
  <si>
    <t>2026-10-16T18:10:19.710Z</t>
  </si>
  <si>
    <t>EVT-BC05B66C</t>
  </si>
  <si>
    <t>IDEM-140BFD33284B95FEA3EF8F0E61AE657F</t>
  </si>
  <si>
    <t>bb0af857eceff5...</t>
  </si>
  <si>
    <t>39b1c6bb37d9e0...</t>
  </si>
  <si>
    <t>EVT-E3392B15</t>
  </si>
  <si>
    <t>REQ-BLA-1050</t>
  </si>
  <si>
    <t>IDEM-906343C4B9A949F35C7ABF08DB61BE4A</t>
  </si>
  <si>
    <t>eacb346d216d81...</t>
  </si>
  <si>
    <t>44dfe9abb5184d...</t>
  </si>
  <si>
    <t>2026-10-16T18:10:19.860Z</t>
  </si>
  <si>
    <t>EVT-58D67BFC</t>
  </si>
  <si>
    <t>REQ-BLA-1051</t>
  </si>
  <si>
    <t>IDEM-053E73734C37B7256F98D3697037E29B</t>
  </si>
  <si>
    <t>57c18d112c7fde...</t>
  </si>
  <si>
    <t>72047392f8f6cc...</t>
  </si>
  <si>
    <t>2026-10-16T18:10:19.911Z</t>
  </si>
  <si>
    <t>EVT-5FD9AC29</t>
  </si>
  <si>
    <t>IDEM-3CE70A13BD1F739339F436F94F892906</t>
  </si>
  <si>
    <t>6f665f74c120d5...</t>
  </si>
  <si>
    <t>81e4838fc9840b...</t>
  </si>
  <si>
    <t>EVT-1D19F1D9</t>
  </si>
  <si>
    <t>IDEM-EE41AEE4F8EB908BD72A2A438D919D5C</t>
  </si>
  <si>
    <t>0b153fdc802ca5...</t>
  </si>
  <si>
    <t>d4be3b294a1aeb...</t>
  </si>
  <si>
    <t>EVT-4A91C3A9</t>
  </si>
  <si>
    <t>REQ-BLA-1054</t>
  </si>
  <si>
    <t>7c2eba6309574c...</t>
  </si>
  <si>
    <t>2026-10-16T18:10:20.061Z</t>
  </si>
  <si>
    <t>EVT-5BA6E386</t>
  </si>
  <si>
    <t>IDEM-DFC281CDA6B9F8A20757E13A490DBE74</t>
  </si>
  <si>
    <t>e7a7b0db353140...</t>
  </si>
  <si>
    <t>7e924e07d6b20b...</t>
  </si>
  <si>
    <t>EVT-89ED6193</t>
  </si>
  <si>
    <t>REQ-BLA-1056</t>
  </si>
  <si>
    <t>IDEM-CACCF66A5C00DEBD60F7D4F9E0454F06</t>
  </si>
  <si>
    <t>4ea37088adf208...</t>
  </si>
  <si>
    <t>07ba531d828003...</t>
  </si>
  <si>
    <t>2026-10-16T18:10:21.125Z</t>
  </si>
  <si>
    <t>EVT-10561BD4</t>
  </si>
  <si>
    <t>IDEM-D69D80AE31253F53CDF415AD1CD38EB4</t>
  </si>
  <si>
    <t>40769999e3f0ac...</t>
  </si>
  <si>
    <t>916d7a5515ab4f...</t>
  </si>
  <si>
    <t>EVT-A3C2890C</t>
  </si>
  <si>
    <t>REQ-BLA-1058</t>
  </si>
  <si>
    <t>IDEM-2298CF713C853660AB9FB43B58866A55</t>
  </si>
  <si>
    <t>1efe7cb267cbe1...</t>
  </si>
  <si>
    <t>63808aeb22b073...</t>
  </si>
  <si>
    <t>2026-10-16T18:10:21.260Z</t>
  </si>
  <si>
    <t>EVT-977555F8</t>
  </si>
  <si>
    <t>IDEM-F48C8DAE92C5DF1E2FAA36FE9D36D398</t>
  </si>
  <si>
    <t>351d1dae37dc89...</t>
  </si>
  <si>
    <t>95769b3e6ac734...</t>
  </si>
  <si>
    <t>EVT-E14D4E77</t>
  </si>
  <si>
    <t>REQ-BLA-1060</t>
  </si>
  <si>
    <t>IDEM-D3B50513A0334718D2703A2DFDFCA5AD</t>
  </si>
  <si>
    <t>3db82987e1a3e4...</t>
  </si>
  <si>
    <t>78339d38374e43...</t>
  </si>
  <si>
    <t>2026-10-16T18:10:21.467Z</t>
  </si>
  <si>
    <t>EVT-1EAB0B64</t>
  </si>
  <si>
    <t>IDEM-671D3428B1359C9212F365A76F9DCD37</t>
  </si>
  <si>
    <t>ae57bfa5a3f5d8...</t>
  </si>
  <si>
    <t>e2de293775041f...</t>
  </si>
  <si>
    <t>2026-10-16T18:10:21.520Z</t>
  </si>
  <si>
    <t>EVT-290FBD5A</t>
  </si>
  <si>
    <t>IDEM-3D68FA8F53B98B237BFE2DF581B0A740</t>
  </si>
  <si>
    <t>098afce03ce3da...</t>
  </si>
  <si>
    <t>a7aca18184f211...</t>
  </si>
  <si>
    <t>EVT-D9AE617D</t>
  </si>
  <si>
    <t>REQ-BLA-1063</t>
  </si>
  <si>
    <t>IDEM-A14E77E13C374E45DB516E15102BF8E3</t>
  </si>
  <si>
    <t>b1e0035427399a...</t>
  </si>
  <si>
    <t>07178e3a764b4d...</t>
  </si>
  <si>
    <t>2026-10-16T18:10:21.587Z</t>
  </si>
  <si>
    <t>EVT-D8009604</t>
  </si>
  <si>
    <t>IDEM-3D78136DF7C1DE057E01F972EA74504A</t>
  </si>
  <si>
    <t>b65c92bc1b8a8c...</t>
  </si>
  <si>
    <t>d01f1057785ffb...</t>
  </si>
  <si>
    <t>EVT-A6931466</t>
  </si>
  <si>
    <t>REQ-BLA-1065</t>
  </si>
  <si>
    <t>IDEM-AB4C5424C3537FC105AF3F2472289F64</t>
  </si>
  <si>
    <t>ab1c7bd948ae2a...</t>
  </si>
  <si>
    <t>e22bbe607204a5...</t>
  </si>
  <si>
    <t>2026-10-16T18:10:21.727Z</t>
  </si>
  <si>
    <t>EVT-2FE4036A</t>
  </si>
  <si>
    <t>REQ-BLA-1066</t>
  </si>
  <si>
    <t>IDEM-699F41C41E67AB0BDECFC74681E66DE3</t>
  </si>
  <si>
    <t>4818b737ce2726...</t>
  </si>
  <si>
    <t>689d360dddebe3...</t>
  </si>
  <si>
    <t>2026-10-16T18:10:21.777Z</t>
  </si>
  <si>
    <t>EVT-33A7CC18</t>
  </si>
  <si>
    <t>REQ-BLA-1067</t>
  </si>
  <si>
    <t>IDEM-398709B2E35F206E658EA583847CDA96</t>
  </si>
  <si>
    <t>1194fe63ffe0b4...</t>
  </si>
  <si>
    <t>1da638ce0c2f88...</t>
  </si>
  <si>
    <t>2026-10-16T18:10:21.843Z</t>
  </si>
  <si>
    <t>EVT-AF99E54C</t>
  </si>
  <si>
    <t>REQ-BLA-1068</t>
  </si>
  <si>
    <t>IDEM-F764A04A6CD2F5DD485942A9B43877EE</t>
  </si>
  <si>
    <t>f05379072a7f49...</t>
  </si>
  <si>
    <t>4da07525464990...</t>
  </si>
  <si>
    <t>2026-10-16T18:10:21.910Z</t>
  </si>
  <si>
    <t>EVT-BAACAB9F</t>
  </si>
  <si>
    <t>REQ-BLA-1069</t>
  </si>
  <si>
    <t>IDEM-638AD2E362F5FA18C7E9167CF9E0301C</t>
  </si>
  <si>
    <t>d0bae34288ef31...</t>
  </si>
  <si>
    <t>34f86e87b397d9...</t>
  </si>
  <si>
    <t>2026-10-16T18:10:22.094Z</t>
  </si>
  <si>
    <t>EVT-FB7F0303</t>
  </si>
  <si>
    <t>REQ-BLA-1070</t>
  </si>
  <si>
    <t>IDEM-9F228FA1DE3393857E9FDD9AD12401CA</t>
  </si>
  <si>
    <t>fd29776814f5d4...</t>
  </si>
  <si>
    <t>4e8125bfb5d2f7...</t>
  </si>
  <si>
    <t>2026-10-16T18:10:22.193Z</t>
  </si>
  <si>
    <t>EVT-2D141C2A</t>
  </si>
  <si>
    <t>REQ-BLA-1071</t>
  </si>
  <si>
    <t>IDEM-ECFF8C44DDF52B0D132BD45B363B543D</t>
  </si>
  <si>
    <t>ee4158902abcb8...</t>
  </si>
  <si>
    <t>2d574364f4f48c...</t>
  </si>
  <si>
    <t>2026-10-16T18:10:22.260Z</t>
  </si>
  <si>
    <t>EVT-D14849C4</t>
  </si>
  <si>
    <t>REQ-BLA-1072</t>
  </si>
  <si>
    <t>fa2965e7fd43b3...</t>
  </si>
  <si>
    <t>EVT-21AB9BE8</t>
  </si>
  <si>
    <t>REQ-BLA-1073</t>
  </si>
  <si>
    <t>IDEM-76C114112DB69BB5D7655202EF1FB4CD</t>
  </si>
  <si>
    <t>c8e90a1f782a16...</t>
  </si>
  <si>
    <t>0e4280ed84ab5a...</t>
  </si>
  <si>
    <t>2026-10-16T18:10:22.393Z</t>
  </si>
  <si>
    <t>EVT-C23BD451</t>
  </si>
  <si>
    <t>IDEM-CC525B1A7956D7C1EEE2BE5EB25A5BDE</t>
  </si>
  <si>
    <t>ad22818c8b4b5b...</t>
  </si>
  <si>
    <t>aadb8ca195b3bc...</t>
  </si>
  <si>
    <t>EVT-D5497AEB</t>
  </si>
  <si>
    <t>REQ-BLA-1075</t>
  </si>
  <si>
    <t>IDEM-DCAAB47577EC00621DDB90D3D8AF4FD5</t>
  </si>
  <si>
    <t>f4748ad71d236b...</t>
  </si>
  <si>
    <t>d9d5c9ad8bf9de...</t>
  </si>
  <si>
    <t>2026-10-16T18:10:22.608Z</t>
  </si>
  <si>
    <t>EVT-D2965BE8</t>
  </si>
  <si>
    <t>REQ-BLA-1076</t>
  </si>
  <si>
    <t>IDEM-4B17391DE6452808348E0A7250DCD549</t>
  </si>
  <si>
    <t>82113b37070d3b...</t>
  </si>
  <si>
    <t>1756cc734d6538...</t>
  </si>
  <si>
    <t>2026-10-16T18:10:22.693Z</t>
  </si>
  <si>
    <t>EVT-C32F781A</t>
  </si>
  <si>
    <t>REQ-BLA-1077</t>
  </si>
  <si>
    <t>IDEM-072917899B7A4B4279498F758AB6D086</t>
  </si>
  <si>
    <t>3cdd4d7365be65...</t>
  </si>
  <si>
    <t>58430b0e7f4c6f...</t>
  </si>
  <si>
    <t>2026-10-16T18:10:22.777Z</t>
  </si>
  <si>
    <t>EVT-45482195</t>
  </si>
  <si>
    <t>REQ-BLA-1078</t>
  </si>
  <si>
    <t>IDEM-2559B9F872FA18260CB2DAAE24BF8025</t>
  </si>
  <si>
    <t>051887eddfa3af...</t>
  </si>
  <si>
    <t>65b0367b439a2e...</t>
  </si>
  <si>
    <t>2026-10-16T18:10:22.843Z</t>
  </si>
  <si>
    <t>EVT-411C1276</t>
  </si>
  <si>
    <t>REQ-BLA-1079</t>
  </si>
  <si>
    <t>IDEM-35FBC5466C3A6FD5F37D585BEC86DB1F</t>
  </si>
  <si>
    <t>92fc45d4c899c3...</t>
  </si>
  <si>
    <t>496a6094a0fa87...</t>
  </si>
  <si>
    <t>2026-10-16T18:10:22.944Z</t>
  </si>
  <si>
    <t>EVT-D946BC5D</t>
  </si>
  <si>
    <t>IDEM-F55D4EC41915ABCCE4C7DDC0BA023D81</t>
  </si>
  <si>
    <t>6f8fc9b936dac6...</t>
  </si>
  <si>
    <t>eb740f152efd81...</t>
  </si>
  <si>
    <t>2026-10-16T18:10:22.994Z</t>
  </si>
  <si>
    <t>EVT-D3B1E166</t>
  </si>
  <si>
    <t>REQ-BLA-1081</t>
  </si>
  <si>
    <t>IDEM-F1CD9E64FE3A5B86ECF2CF2FF6C063ED</t>
  </si>
  <si>
    <t>2fdb70b169c1b3...</t>
  </si>
  <si>
    <t>6742f5b8635705...</t>
  </si>
  <si>
    <t>2026-10-16T18:10:23.060Z</t>
  </si>
  <si>
    <t>EVT-CBFEE99E</t>
  </si>
  <si>
    <t>IDEM-B29670E6CEEFF2230A2C07290A2C11CD</t>
  </si>
  <si>
    <t>22ae0a49b63f14...</t>
  </si>
  <si>
    <t>56e8a49866ddee...</t>
  </si>
  <si>
    <t>EVT-2C5FB2C6</t>
  </si>
  <si>
    <t>REQ-BLA-1083</t>
  </si>
  <si>
    <t>IDEM-5528495A2EE736178CEA1F2AEAFBA8C8</t>
  </si>
  <si>
    <t>7b0739a7f5da7e...</t>
  </si>
  <si>
    <t>cacbef7ff8551f...</t>
  </si>
  <si>
    <t>2026-10-16T18:10:23.210Z</t>
  </si>
  <si>
    <t>EVT-4F650AF8</t>
  </si>
  <si>
    <t>REQ-BLA-1084</t>
  </si>
  <si>
    <t>IDEM-A6D8EE22CEA1C6DDE13FF5D44ECE348F</t>
  </si>
  <si>
    <t>2268f6477b72cd...</t>
  </si>
  <si>
    <t>c7bd799ceb8219...</t>
  </si>
  <si>
    <t>2026-10-16T18:10:23.293Z</t>
  </si>
  <si>
    <t>EVT-9685539D</t>
  </si>
  <si>
    <t>REQ-BLA-1085</t>
  </si>
  <si>
    <t>IDEM-81CB182E27319F55A53AEF217A5A49F6</t>
  </si>
  <si>
    <t>a1ec6cb43b86bd...</t>
  </si>
  <si>
    <t>133e27418f165f...</t>
  </si>
  <si>
    <t>2026-10-16T18:10:23.393Z</t>
  </si>
  <si>
    <t>EVT-864EFC92</t>
  </si>
  <si>
    <t>REQ-BLA-1086</t>
  </si>
  <si>
    <t>IDEM-DA7165672215F4AE6B5A547D864A5100</t>
  </si>
  <si>
    <t>98e7552433d26e...</t>
  </si>
  <si>
    <t>b6c3f747483674...</t>
  </si>
  <si>
    <t>2026-10-16T18:10:23.459Z</t>
  </si>
  <si>
    <t>EVT-2219C26C</t>
  </si>
  <si>
    <t>REQ-BLA-1087</t>
  </si>
  <si>
    <t>IDEM-5CFA2BF37EAB0B4265ED4E582B728F4D</t>
  </si>
  <si>
    <t>0a081c634dea53...</t>
  </si>
  <si>
    <t>8feb28056fcfec...</t>
  </si>
  <si>
    <t>2026-10-16T18:10:23.542Z</t>
  </si>
  <si>
    <t>EVT-70681DC9</t>
  </si>
  <si>
    <t>REQ-BLA-1088</t>
  </si>
  <si>
    <t>IDEM-B7FBF4ACC6FE0341E619B619E572BE95</t>
  </si>
  <si>
    <t>ab22923ab67dbf...</t>
  </si>
  <si>
    <t>57a2fe11b34034...</t>
  </si>
  <si>
    <t>2026-10-16T18:10:23.624Z</t>
  </si>
  <si>
    <t>EVT-526CB149</t>
  </si>
  <si>
    <t>REQ-BLA-1089</t>
  </si>
  <si>
    <t>IDEM-2C1F506128BF78F02B1E499ACB2F8FA6</t>
  </si>
  <si>
    <t>bc82089023e3ce...</t>
  </si>
  <si>
    <t>3e1a8cfe75e9c3...</t>
  </si>
  <si>
    <t>2026-10-16T18:10:23.660Z</t>
  </si>
  <si>
    <t>EVT-E66166D2</t>
  </si>
  <si>
    <t>REQ-BLA-1090</t>
  </si>
  <si>
    <t>116ba8b93bff06...</t>
  </si>
  <si>
    <t>EVT-13063A96</t>
  </si>
  <si>
    <t>IDEM-AA254511EF452A8DB6948D51D7F48F1C</t>
  </si>
  <si>
    <t>f88eb43d569c57...</t>
  </si>
  <si>
    <t>1348a6933481d5...</t>
  </si>
  <si>
    <t>EVT-A0A95982</t>
  </si>
  <si>
    <t>IDEM-A47DCCA37B6EB094BA552B71C46B9B07</t>
  </si>
  <si>
    <t>1d98f94a3c5492...</t>
  </si>
  <si>
    <t>ca9552b829726a...</t>
  </si>
  <si>
    <t>EVT-6639DCB2</t>
  </si>
  <si>
    <t>REQ-BLA-1093</t>
  </si>
  <si>
    <t>IDEM-B629E3ED7D5CDDF1C928A77A6C5294B6</t>
  </si>
  <si>
    <t>87400b692c253e...</t>
  </si>
  <si>
    <t>429eb80d4716ff...</t>
  </si>
  <si>
    <t>2026-10-16T18:10:23.976Z</t>
  </si>
  <si>
    <t>EVT-97FCD37A</t>
  </si>
  <si>
    <t>REQ-BLA-1094</t>
  </si>
  <si>
    <t>IDEM-67E6834FBC2FC6666AAF8843BA2D2E7F</t>
  </si>
  <si>
    <t>93f55f96746021...</t>
  </si>
  <si>
    <t>6ca90d94a3fd46...</t>
  </si>
  <si>
    <t>2026-10-16T18:10:24.026Z</t>
  </si>
  <si>
    <t>EVT-A6FC054E</t>
  </si>
  <si>
    <t>REQ-BLA-1095</t>
  </si>
  <si>
    <t>IDEM-43BD5334EF8C5E66E515D4A16BE3984B</t>
  </si>
  <si>
    <t>63f311fd98cb87...</t>
  </si>
  <si>
    <t>21fce4374188d0...</t>
  </si>
  <si>
    <t>2026-10-16T18:10:24.111Z</t>
  </si>
  <si>
    <t>EVT-E2470C67</t>
  </si>
  <si>
    <t>REQ-BLA-1096</t>
  </si>
  <si>
    <t>IDEM-5183F5F8322F72D768A0E864A0577881</t>
  </si>
  <si>
    <t>0d39d5011b2801...</t>
  </si>
  <si>
    <t>cece093dac88a0...</t>
  </si>
  <si>
    <t>2026-10-16T18:10:24.328Z</t>
  </si>
  <si>
    <t>EVT-1FADA77D</t>
  </si>
  <si>
    <t>IDEM-47ED36109C6A4736A646B8D8CF86B3F3</t>
  </si>
  <si>
    <t>ee3beb91e06c84...</t>
  </si>
  <si>
    <t>cc56de53fdc53d...</t>
  </si>
  <si>
    <t>EVT-554672E2</t>
  </si>
  <si>
    <t>REQ-BLA-1098</t>
  </si>
  <si>
    <t>IDEM-17EE3E40612B2089590B085C51AA5F76</t>
  </si>
  <si>
    <t>98911da2265d5e...</t>
  </si>
  <si>
    <t>6799195ccaf34b...</t>
  </si>
  <si>
    <t>2026-10-16T18:10:24.493Z</t>
  </si>
  <si>
    <t>EVT-393C92CF</t>
  </si>
  <si>
    <t>REQ-BLA-1099</t>
  </si>
  <si>
    <t>IDEM-9F34DEE422DA89055B759BA01C11D9E9</t>
  </si>
  <si>
    <t>2ffd02525e1056...</t>
  </si>
  <si>
    <t>2fadced5b3610e...</t>
  </si>
  <si>
    <t>2026-10-16T18:10:24.586Z</t>
  </si>
  <si>
    <t>EVT-28002AAD</t>
  </si>
  <si>
    <t>IDEM-C3744C400C28C72D6337998FA4F4D91E</t>
  </si>
  <si>
    <t>773c9b6544f8e2...</t>
  </si>
  <si>
    <t>2988245bc73ddb...</t>
  </si>
  <si>
    <t>2026-10-16T18:10:24.628Z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</si>
</sst>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i/>
      <color rgb="FF64748B"/>
      <sz val="9"/>
      <name val="Segoe UI"/>
    </font>
    <font>
      <b/>
      <color rgb="FF166534"/>
      <sz val="9"/>
      <name val="Segoe UI"/>
    </font>
    <font>
      <b/>
      <color rgb="FF475569"/>
      <sz val="8"/>
      <name val="Segoe UI"/>
    </font>
    <font>
      <b/>
      <color rgb="FF1D4ED8"/>
      <sz val="15"/>
      <name val="Segoe UI"/>
    </font>
    <font>
      <b/>
      <color rgb="FF15803D"/>
      <sz val="15"/>
      <name val="Segoe UI"/>
    </font>
    <font>
      <b/>
      <color rgb="FFB91C1C"/>
      <sz val="15"/>
      <name val="Segoe UI"/>
    </font>
    <font>
      <b/>
      <color rgb="FFD97706"/>
      <sz val="15"/>
      <name val="Segoe UI"/>
    </font>
    <font>
      <b/>
      <color rgb="FF0F766E"/>
      <sz val="15"/>
      <name val="Segoe UI"/>
    </font>
    <font>
      <b/>
      <color rgb="FF6D28D9"/>
      <sz val="15"/>
      <name val="Segoe UI"/>
    </font>
    <font>
      <b/>
      <color rgb="FFC2410C"/>
      <sz val="15"/>
      <name val="Segoe UI"/>
    </font>
    <font>
      <b/>
      <color rgb="FF0F172A"/>
      <sz val="11"/>
      <name val="Segoe UI"/>
    </font>
    <font>
      <color rgb="FF334155"/>
      <sz val="9"/>
      <name val="Segoe UI"/>
    </font>
    <font>
      <b/>
      <color rgb="FF0F172A"/>
      <sz val="9"/>
      <name val="Segoe UI"/>
    </font>
    <font>
      <b/>
      <color rgb="FF1D4ED8"/>
      <sz val="9"/>
      <name val="Segoe UI"/>
    </font>
    <font>
      <b/>
      <color rgb="FFFFFFFF"/>
      <sz val="10"/>
      <name val="Segoe UI"/>
    </font>
    <font>
      <b/>
      <color rgb="FF15803D"/>
    </font>
    <font>
      <b/>
      <color rgb="FFB91C1C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CFCE7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991B1B"/>
      </patternFill>
    </fill>
    <fill>
      <patternFill patternType="solid">
        <fgColor rgb="FFFECACA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6" borderId="0" xfId="0" applyFont="1" applyFill="1"/>
    <xf numFmtId="0" fontId="0" fillId="0" borderId="0" xfId="0" applyAlignment="1">
      <alignment vertical="center"/>
    </xf>
    <xf numFmtId="0" fontId="16" fillId="7" borderId="0" xfId="0" applyFont="1" applyFill="1"/>
    <xf numFmtId="0" fontId="17" fillId="0" borderId="0" xfId="0" applyFont="1"/>
    <xf numFmtId="0" fontId="18" fillId="0" borderId="0" xfId="0" applyFont="1"/>
    <xf numFmtId="0" fontId="16" fillId="2" borderId="0" xfId="0" applyFont="1" applyFill="1"/>
    <xf numFmtId="0" fontId="0" fillId="8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5"/>
  <sheetViews>
    <sheetView workbookViewId="0"/>
  </sheetViews>
  <sheetFormatPr defaultRowHeight="15" outlineLevelRow="0" outlineLevelCol="0" x14ac:dyDescent="55"/>
  <cols>
    <col min="2" max="8" width="20" customWidth="1"/>
  </cols>
  <sheetData>
    <row r="2" ht="36" customHeight="1" spans="2:8" x14ac:dyDescent="0.25">
      <c r="B2" s="1" t="s">
        <v>0</v>
      </c>
      <c r="C2" s="1"/>
      <c r="D2" s="1"/>
      <c r="E2" s="1"/>
      <c r="F2" s="1"/>
      <c r="G2" s="1"/>
      <c r="H2" s="1"/>
    </row>
    <row r="3" ht="20" customHeight="1" spans="2:8" x14ac:dyDescent="0.25">
      <c r="B3" s="2" t="s">
        <v>1</v>
      </c>
      <c r="C3" s="2"/>
      <c r="D3" s="2"/>
      <c r="E3" s="2"/>
      <c r="F3" s="2"/>
      <c r="G3" s="2"/>
      <c r="H3" s="2"/>
    </row>
    <row r="4" ht="22" customHeight="1" spans="2:8" x14ac:dyDescent="0.25">
      <c r="B4" s="3" t="s">
        <v>2</v>
      </c>
      <c r="C4" s="3"/>
      <c r="D4" s="3"/>
      <c r="E4" s="3"/>
      <c r="F4" s="3"/>
      <c r="G4" s="3"/>
      <c r="H4" s="3"/>
    </row>
    <row r="6" ht="20" customHeight="1" spans="2:8" x14ac:dyDescent="0.25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</row>
    <row r="7" ht="32" customHeight="1" spans="2:8" x14ac:dyDescent="0.25">
      <c r="B7" s="5">
        <v>100</v>
      </c>
      <c r="C7" s="6">
        <v>65</v>
      </c>
      <c r="D7" s="7">
        <v>30</v>
      </c>
      <c r="E7" s="8">
        <v>5</v>
      </c>
      <c r="F7" s="9" t="s">
        <v>10</v>
      </c>
      <c r="G7" s="10" t="s">
        <v>10</v>
      </c>
      <c r="H7" s="11" t="s">
        <v>11</v>
      </c>
    </row>
    <row r="10" spans="2:5" x14ac:dyDescent="0.25">
      <c r="B10" s="12" t="s">
        <v>12</v>
      </c>
      <c r="E10" s="12" t="s">
        <v>13</v>
      </c>
    </row>
    <row r="11" spans="2:6" x14ac:dyDescent="0.25">
      <c r="B11" s="13" t="s">
        <v>14</v>
      </c>
      <c r="C11" s="14" t="s">
        <v>15</v>
      </c>
      <c r="E11" s="13" t="s">
        <v>16</v>
      </c>
      <c r="F11" s="15">
        <f>COUNTA('Audit Log'!A2:A2000)</f>
      </c>
    </row>
    <row r="12" spans="2:6" x14ac:dyDescent="0.25">
      <c r="B12" s="13" t="s">
        <v>17</v>
      </c>
      <c r="C12" s="14" t="s">
        <v>11</v>
      </c>
      <c r="E12" s="13" t="s">
        <v>18</v>
      </c>
      <c r="F12" s="15">
        <f>COUNTIF('Audit Log'!E2:E2000, "DELIVERED")</f>
      </c>
    </row>
    <row r="13" spans="2:6" x14ac:dyDescent="0.25">
      <c r="B13" s="13" t="s">
        <v>19</v>
      </c>
      <c r="C13" s="14" t="s">
        <v>20</v>
      </c>
      <c r="E13" s="13" t="s">
        <v>21</v>
      </c>
      <c r="F13" s="15">
        <f>COUNTIF('Audit Log'!G2:G2000, true)</f>
      </c>
    </row>
    <row r="14" spans="2:6" x14ac:dyDescent="0.25">
      <c r="B14" s="13" t="s">
        <v>22</v>
      </c>
      <c r="C14" s="14" t="s">
        <v>23</v>
      </c>
      <c r="E14" s="13" t="s">
        <v>24</v>
      </c>
      <c r="F14" s="15">
        <f>COUNTIF('Audit Log'!E2:E2000, "FAILED_BREACH")</f>
      </c>
    </row>
    <row r="15" spans="2:3" x14ac:dyDescent="0.25">
      <c r="B15" s="13" t="s">
        <v>25</v>
      </c>
      <c r="C15" s="14" t="s">
        <v>26</v>
      </c>
    </row>
  </sheetData>
  <mergeCells count="3">
    <mergeCell ref="B2:H2"/>
    <mergeCell ref="B3:H3"/>
    <mergeCell ref="B4:H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28" customWidth="1"/>
    <col min="2" max="2" width="18" customWidth="1"/>
    <col min="3" max="3" width="14" customWidth="1"/>
    <col min="4" max="7" width="16" customWidth="1"/>
    <col min="8" max="10" width="12" customWidth="1"/>
  </cols>
  <sheetData>
    <row r="1" ht="26" customHeight="1" spans="1:10" s="16" customFormat="1" x14ac:dyDescent="0.25">
      <c r="A1" s="16" t="s">
        <v>27</v>
      </c>
      <c r="B1" s="16" t="s">
        <v>28</v>
      </c>
      <c r="C1" s="16" t="s">
        <v>29</v>
      </c>
      <c r="D1" s="16" t="s">
        <v>30</v>
      </c>
      <c r="E1" s="16" t="s">
        <v>31</v>
      </c>
      <c r="F1" s="16" t="s">
        <v>32</v>
      </c>
      <c r="G1" s="16" t="s">
        <v>33</v>
      </c>
      <c r="H1" s="16" t="s">
        <v>34</v>
      </c>
      <c r="I1" s="16" t="s">
        <v>35</v>
      </c>
      <c r="J1" s="16" t="s">
        <v>36</v>
      </c>
    </row>
    <row r="2" spans="1:10" s="17" customFormat="1" x14ac:dyDescent="0.25">
      <c r="A2" s="17" t="s">
        <v>37</v>
      </c>
      <c r="B2" s="17">
        <v>31</v>
      </c>
      <c r="C2" s="17">
        <v>0</v>
      </c>
      <c r="D2" s="17">
        <v>31</v>
      </c>
      <c r="E2" s="17">
        <v>31</v>
      </c>
      <c r="F2" s="17" t="s">
        <v>38</v>
      </c>
      <c r="G2" s="17" t="s">
        <v>38</v>
      </c>
      <c r="H2" s="17">
        <v>83</v>
      </c>
      <c r="I2" s="17">
        <v>916</v>
      </c>
      <c r="J2" s="17">
        <v>1904</v>
      </c>
    </row>
    <row r="3" spans="1:10" s="17" customFormat="1" x14ac:dyDescent="0.25">
      <c r="A3" s="17" t="s">
        <v>39</v>
      </c>
      <c r="B3" s="17">
        <v>21</v>
      </c>
      <c r="C3" s="17">
        <v>19</v>
      </c>
      <c r="D3" s="17">
        <v>2</v>
      </c>
      <c r="E3" s="17">
        <v>2</v>
      </c>
      <c r="F3" s="17" t="s">
        <v>40</v>
      </c>
      <c r="G3" s="17" t="s">
        <v>40</v>
      </c>
      <c r="H3" s="17">
        <v>130</v>
      </c>
      <c r="I3" s="17">
        <v>263</v>
      </c>
      <c r="J3" s="17">
        <v>298</v>
      </c>
    </row>
    <row r="4" spans="1:10" s="17" customFormat="1" x14ac:dyDescent="0.25">
      <c r="A4" s="17" t="s">
        <v>41</v>
      </c>
      <c r="B4" s="17">
        <v>19</v>
      </c>
      <c r="C4" s="17">
        <v>18</v>
      </c>
      <c r="D4" s="17">
        <v>1</v>
      </c>
      <c r="E4" s="17">
        <v>1</v>
      </c>
      <c r="F4" s="17" t="s">
        <v>42</v>
      </c>
      <c r="G4" s="17" t="s">
        <v>42</v>
      </c>
      <c r="H4" s="17">
        <v>63</v>
      </c>
      <c r="I4" s="17">
        <v>156</v>
      </c>
      <c r="J4" s="17">
        <v>156</v>
      </c>
    </row>
    <row r="5" spans="1:10" s="17" customFormat="1" x14ac:dyDescent="0.25">
      <c r="A5" s="17" t="s">
        <v>43</v>
      </c>
      <c r="B5" s="17">
        <v>29</v>
      </c>
      <c r="C5" s="17">
        <v>28</v>
      </c>
      <c r="D5" s="17">
        <v>1</v>
      </c>
      <c r="E5" s="17">
        <v>1</v>
      </c>
      <c r="F5" s="17" t="s">
        <v>44</v>
      </c>
      <c r="G5" s="17" t="s">
        <v>44</v>
      </c>
      <c r="H5" s="17">
        <v>82</v>
      </c>
      <c r="I5" s="17">
        <v>110</v>
      </c>
      <c r="J5" s="17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1" width="18" customWidth="1"/>
    <col min="2" max="2" width="20" customWidth="1"/>
    <col min="3" max="3" width="26" customWidth="1"/>
    <col min="4" max="5" width="16" customWidth="1"/>
    <col min="6" max="6" width="45" customWidth="1"/>
    <col min="7" max="7" width="16" customWidth="1"/>
    <col min="8" max="8" width="24" customWidth="1"/>
  </cols>
  <sheetData>
    <row r="1" ht="26" customHeight="1" spans="1:8" s="18" customFormat="1" x14ac:dyDescent="0.25">
      <c r="A1" s="18" t="s">
        <v>45</v>
      </c>
      <c r="B1" s="18" t="s">
        <v>46</v>
      </c>
      <c r="C1" s="18" t="s">
        <v>47</v>
      </c>
      <c r="D1" s="18" t="s">
        <v>48</v>
      </c>
      <c r="E1" s="18" t="s">
        <v>49</v>
      </c>
      <c r="F1" s="18" t="s">
        <v>50</v>
      </c>
      <c r="G1" s="18" t="s">
        <v>51</v>
      </c>
      <c r="H1" s="18" t="s">
        <v>52</v>
      </c>
    </row>
    <row r="2" spans="1:8" x14ac:dyDescent="0.25">
      <c r="A2" t="s">
        <v>53</v>
      </c>
      <c r="B2" t="s">
        <v>54</v>
      </c>
      <c r="C2" t="s">
        <v>37</v>
      </c>
      <c r="D2" t="s">
        <v>55</v>
      </c>
      <c r="E2">
        <v>3</v>
      </c>
      <c r="F2" t="s">
        <v>56</v>
      </c>
      <c r="G2" s="19" t="s">
        <v>57</v>
      </c>
      <c r="H2" t="s">
        <v>58</v>
      </c>
    </row>
    <row r="3" spans="1:8" x14ac:dyDescent="0.25">
      <c r="A3" t="s">
        <v>59</v>
      </c>
      <c r="B3" t="s">
        <v>60</v>
      </c>
      <c r="C3" t="s">
        <v>37</v>
      </c>
      <c r="D3" t="s">
        <v>55</v>
      </c>
      <c r="E3">
        <v>3</v>
      </c>
      <c r="F3" t="s">
        <v>61</v>
      </c>
      <c r="G3" s="19" t="s">
        <v>57</v>
      </c>
      <c r="H3" t="s">
        <v>62</v>
      </c>
    </row>
    <row r="4" spans="1:8" x14ac:dyDescent="0.25">
      <c r="A4" t="s">
        <v>63</v>
      </c>
      <c r="B4" t="s">
        <v>64</v>
      </c>
      <c r="C4" t="s">
        <v>37</v>
      </c>
      <c r="D4" t="s">
        <v>55</v>
      </c>
      <c r="E4">
        <v>3</v>
      </c>
      <c r="F4" t="s">
        <v>61</v>
      </c>
      <c r="G4" s="19" t="s">
        <v>57</v>
      </c>
      <c r="H4" t="s">
        <v>65</v>
      </c>
    </row>
    <row r="5" spans="1:8" x14ac:dyDescent="0.25">
      <c r="A5" t="s">
        <v>66</v>
      </c>
      <c r="B5" t="s">
        <v>67</v>
      </c>
      <c r="C5" t="s">
        <v>37</v>
      </c>
      <c r="D5" t="s">
        <v>55</v>
      </c>
      <c r="E5">
        <v>3</v>
      </c>
      <c r="F5" t="s">
        <v>61</v>
      </c>
      <c r="G5" s="20" t="s">
        <v>68</v>
      </c>
      <c r="H5" t="s">
        <v>69</v>
      </c>
    </row>
    <row r="6" spans="1:8" x14ac:dyDescent="0.25">
      <c r="A6" t="s">
        <v>70</v>
      </c>
      <c r="B6" t="s">
        <v>71</v>
      </c>
      <c r="C6" t="s">
        <v>37</v>
      </c>
      <c r="D6" t="s">
        <v>55</v>
      </c>
      <c r="E6">
        <v>3</v>
      </c>
      <c r="F6" t="s">
        <v>61</v>
      </c>
      <c r="G6" s="20" t="s">
        <v>68</v>
      </c>
      <c r="H6" t="s">
        <v>72</v>
      </c>
    </row>
    <row r="7" spans="1:8" x14ac:dyDescent="0.25">
      <c r="A7" t="s">
        <v>73</v>
      </c>
      <c r="B7" t="s">
        <v>74</v>
      </c>
      <c r="C7" t="s">
        <v>37</v>
      </c>
      <c r="D7" t="s">
        <v>55</v>
      </c>
      <c r="E7">
        <v>3</v>
      </c>
      <c r="F7" t="s">
        <v>61</v>
      </c>
      <c r="G7" s="20" t="s">
        <v>68</v>
      </c>
      <c r="H7" t="s">
        <v>75</v>
      </c>
    </row>
    <row r="8" spans="1:8" x14ac:dyDescent="0.25">
      <c r="A8" t="s">
        <v>76</v>
      </c>
      <c r="B8" t="s">
        <v>77</v>
      </c>
      <c r="C8" t="s">
        <v>37</v>
      </c>
      <c r="D8" t="s">
        <v>55</v>
      </c>
      <c r="E8">
        <v>3</v>
      </c>
      <c r="F8" t="s">
        <v>61</v>
      </c>
      <c r="G8" s="20" t="s">
        <v>68</v>
      </c>
      <c r="H8" t="s">
        <v>78</v>
      </c>
    </row>
    <row r="9" spans="1:8" x14ac:dyDescent="0.25">
      <c r="A9" t="s">
        <v>79</v>
      </c>
      <c r="B9" t="s">
        <v>80</v>
      </c>
      <c r="C9" t="s">
        <v>37</v>
      </c>
      <c r="D9" t="s">
        <v>55</v>
      </c>
      <c r="E9">
        <v>3</v>
      </c>
      <c r="F9" t="s">
        <v>61</v>
      </c>
      <c r="G9" s="20" t="s">
        <v>68</v>
      </c>
      <c r="H9" t="s">
        <v>81</v>
      </c>
    </row>
    <row r="10" spans="1:8" x14ac:dyDescent="0.25">
      <c r="A10" t="s">
        <v>82</v>
      </c>
      <c r="B10" t="s">
        <v>83</v>
      </c>
      <c r="C10" t="s">
        <v>37</v>
      </c>
      <c r="D10" t="s">
        <v>55</v>
      </c>
      <c r="E10">
        <v>3</v>
      </c>
      <c r="F10" t="s">
        <v>61</v>
      </c>
      <c r="G10" s="20" t="s">
        <v>68</v>
      </c>
      <c r="H10" t="s">
        <v>84</v>
      </c>
    </row>
    <row r="11" spans="1:8" x14ac:dyDescent="0.25">
      <c r="A11" t="s">
        <v>85</v>
      </c>
      <c r="B11" t="s">
        <v>86</v>
      </c>
      <c r="C11" t="s">
        <v>37</v>
      </c>
      <c r="D11" t="s">
        <v>55</v>
      </c>
      <c r="E11">
        <v>3</v>
      </c>
      <c r="F11" t="s">
        <v>61</v>
      </c>
      <c r="G11" s="20" t="s">
        <v>68</v>
      </c>
      <c r="H11" t="s">
        <v>87</v>
      </c>
    </row>
    <row r="12" spans="1:8" x14ac:dyDescent="0.25">
      <c r="A12" t="s">
        <v>88</v>
      </c>
      <c r="B12" t="s">
        <v>89</v>
      </c>
      <c r="C12" t="s">
        <v>37</v>
      </c>
      <c r="D12" t="s">
        <v>55</v>
      </c>
      <c r="E12">
        <v>3</v>
      </c>
      <c r="F12" t="s">
        <v>61</v>
      </c>
      <c r="G12" s="20" t="s">
        <v>68</v>
      </c>
      <c r="H12" t="s">
        <v>90</v>
      </c>
    </row>
    <row r="13" spans="1:8" x14ac:dyDescent="0.25">
      <c r="A13" t="s">
        <v>91</v>
      </c>
      <c r="B13" t="s">
        <v>92</v>
      </c>
      <c r="C13" t="s">
        <v>37</v>
      </c>
      <c r="D13" t="s">
        <v>55</v>
      </c>
      <c r="E13">
        <v>3</v>
      </c>
      <c r="F13" t="s">
        <v>61</v>
      </c>
      <c r="G13" s="20" t="s">
        <v>68</v>
      </c>
      <c r="H13" t="s">
        <v>93</v>
      </c>
    </row>
    <row r="14" spans="1:8" x14ac:dyDescent="0.25">
      <c r="A14" t="s">
        <v>94</v>
      </c>
      <c r="B14" t="s">
        <v>95</v>
      </c>
      <c r="C14" t="s">
        <v>37</v>
      </c>
      <c r="D14" t="s">
        <v>55</v>
      </c>
      <c r="E14">
        <v>3</v>
      </c>
      <c r="F14" t="s">
        <v>61</v>
      </c>
      <c r="G14" s="20" t="s">
        <v>68</v>
      </c>
      <c r="H14" t="s">
        <v>96</v>
      </c>
    </row>
    <row r="15" spans="1:8" x14ac:dyDescent="0.25">
      <c r="A15" t="s">
        <v>97</v>
      </c>
      <c r="B15" t="s">
        <v>98</v>
      </c>
      <c r="C15" t="s">
        <v>37</v>
      </c>
      <c r="D15" t="s">
        <v>55</v>
      </c>
      <c r="E15">
        <v>3</v>
      </c>
      <c r="F15" t="s">
        <v>61</v>
      </c>
      <c r="G15" s="20" t="s">
        <v>68</v>
      </c>
      <c r="H15" t="s">
        <v>99</v>
      </c>
    </row>
    <row r="16" spans="1:8" x14ac:dyDescent="0.25">
      <c r="A16" t="s">
        <v>100</v>
      </c>
      <c r="B16" t="s">
        <v>101</v>
      </c>
      <c r="C16" t="s">
        <v>37</v>
      </c>
      <c r="D16" t="s">
        <v>55</v>
      </c>
      <c r="E16">
        <v>3</v>
      </c>
      <c r="F16" t="s">
        <v>61</v>
      </c>
      <c r="G16" s="20" t="s">
        <v>68</v>
      </c>
      <c r="H16" t="s">
        <v>102</v>
      </c>
    </row>
    <row r="17" spans="1:8" x14ac:dyDescent="0.25">
      <c r="A17" t="s">
        <v>103</v>
      </c>
      <c r="B17" t="s">
        <v>104</v>
      </c>
      <c r="C17" t="s">
        <v>37</v>
      </c>
      <c r="D17" t="s">
        <v>55</v>
      </c>
      <c r="E17">
        <v>3</v>
      </c>
      <c r="F17" t="s">
        <v>61</v>
      </c>
      <c r="G17" s="20" t="s">
        <v>68</v>
      </c>
      <c r="H17" t="s">
        <v>105</v>
      </c>
    </row>
    <row r="18" spans="1:8" x14ac:dyDescent="0.25">
      <c r="A18" t="s">
        <v>106</v>
      </c>
      <c r="B18" t="s">
        <v>107</v>
      </c>
      <c r="C18" t="s">
        <v>37</v>
      </c>
      <c r="D18" t="s">
        <v>55</v>
      </c>
      <c r="E18">
        <v>3</v>
      </c>
      <c r="F18" t="s">
        <v>61</v>
      </c>
      <c r="G18" s="20" t="s">
        <v>68</v>
      </c>
      <c r="H18" t="s">
        <v>108</v>
      </c>
    </row>
    <row r="19" spans="1:8" x14ac:dyDescent="0.25">
      <c r="A19" t="s">
        <v>109</v>
      </c>
      <c r="B19" t="s">
        <v>110</v>
      </c>
      <c r="C19" t="s">
        <v>37</v>
      </c>
      <c r="D19" t="s">
        <v>55</v>
      </c>
      <c r="E19">
        <v>3</v>
      </c>
      <c r="F19" t="s">
        <v>56</v>
      </c>
      <c r="G19" s="20" t="s">
        <v>68</v>
      </c>
      <c r="H19" t="s">
        <v>111</v>
      </c>
    </row>
    <row r="20" spans="1:8" x14ac:dyDescent="0.25">
      <c r="A20" t="s">
        <v>112</v>
      </c>
      <c r="B20" t="s">
        <v>113</v>
      </c>
      <c r="C20" t="s">
        <v>37</v>
      </c>
      <c r="D20" t="s">
        <v>55</v>
      </c>
      <c r="E20">
        <v>3</v>
      </c>
      <c r="F20" t="s">
        <v>61</v>
      </c>
      <c r="G20" s="20" t="s">
        <v>68</v>
      </c>
      <c r="H20" t="s">
        <v>114</v>
      </c>
    </row>
    <row r="21" spans="1:8" x14ac:dyDescent="0.25">
      <c r="A21" t="s">
        <v>115</v>
      </c>
      <c r="B21" t="s">
        <v>116</v>
      </c>
      <c r="C21" t="s">
        <v>37</v>
      </c>
      <c r="D21" t="s">
        <v>55</v>
      </c>
      <c r="E21">
        <v>3</v>
      </c>
      <c r="F21" t="s">
        <v>61</v>
      </c>
      <c r="G21" s="20" t="s">
        <v>68</v>
      </c>
      <c r="H21" t="s">
        <v>117</v>
      </c>
    </row>
    <row r="22" spans="1:8" x14ac:dyDescent="0.25">
      <c r="A22" t="s">
        <v>118</v>
      </c>
      <c r="B22" t="s">
        <v>119</v>
      </c>
      <c r="C22" t="s">
        <v>37</v>
      </c>
      <c r="D22" t="s">
        <v>55</v>
      </c>
      <c r="E22">
        <v>3</v>
      </c>
      <c r="F22" t="s">
        <v>61</v>
      </c>
      <c r="G22" s="20" t="s">
        <v>68</v>
      </c>
      <c r="H22" t="s">
        <v>120</v>
      </c>
    </row>
    <row r="23" spans="1:8" x14ac:dyDescent="0.25">
      <c r="A23" t="s">
        <v>121</v>
      </c>
      <c r="B23" t="s">
        <v>122</v>
      </c>
      <c r="C23" t="s">
        <v>37</v>
      </c>
      <c r="D23" t="s">
        <v>55</v>
      </c>
      <c r="E23">
        <v>3</v>
      </c>
      <c r="F23" t="s">
        <v>61</v>
      </c>
      <c r="G23" s="20" t="s">
        <v>68</v>
      </c>
      <c r="H23" t="s">
        <v>123</v>
      </c>
    </row>
    <row r="24" spans="1:8" x14ac:dyDescent="0.25">
      <c r="A24" t="s">
        <v>124</v>
      </c>
      <c r="B24" t="s">
        <v>125</v>
      </c>
      <c r="C24" t="s">
        <v>37</v>
      </c>
      <c r="D24" t="s">
        <v>55</v>
      </c>
      <c r="E24">
        <v>3</v>
      </c>
      <c r="F24" t="s">
        <v>61</v>
      </c>
      <c r="G24" s="20" t="s">
        <v>68</v>
      </c>
      <c r="H24" t="s">
        <v>126</v>
      </c>
    </row>
    <row r="25" spans="1:8" x14ac:dyDescent="0.25">
      <c r="A25" t="s">
        <v>127</v>
      </c>
      <c r="B25" t="s">
        <v>128</v>
      </c>
      <c r="C25" t="s">
        <v>37</v>
      </c>
      <c r="D25" t="s">
        <v>55</v>
      </c>
      <c r="E25">
        <v>3</v>
      </c>
      <c r="F25" t="s">
        <v>61</v>
      </c>
      <c r="G25" s="20" t="s">
        <v>68</v>
      </c>
      <c r="H25" t="s">
        <v>129</v>
      </c>
    </row>
    <row r="26" spans="1:8" x14ac:dyDescent="0.25">
      <c r="A26" t="s">
        <v>130</v>
      </c>
      <c r="B26" t="s">
        <v>131</v>
      </c>
      <c r="C26" t="s">
        <v>37</v>
      </c>
      <c r="D26" t="s">
        <v>55</v>
      </c>
      <c r="E26">
        <v>3</v>
      </c>
      <c r="F26" t="s">
        <v>61</v>
      </c>
      <c r="G26" s="20" t="s">
        <v>68</v>
      </c>
      <c r="H26" t="s">
        <v>132</v>
      </c>
    </row>
    <row r="27" spans="1:8" x14ac:dyDescent="0.25">
      <c r="A27" t="s">
        <v>133</v>
      </c>
      <c r="B27" t="s">
        <v>134</v>
      </c>
      <c r="C27" t="s">
        <v>37</v>
      </c>
      <c r="D27" t="s">
        <v>55</v>
      </c>
      <c r="E27">
        <v>3</v>
      </c>
      <c r="F27" t="s">
        <v>61</v>
      </c>
      <c r="G27" s="20" t="s">
        <v>68</v>
      </c>
      <c r="H27" t="s">
        <v>135</v>
      </c>
    </row>
    <row r="28" spans="1:8" x14ac:dyDescent="0.25">
      <c r="A28" t="s">
        <v>136</v>
      </c>
      <c r="B28" t="s">
        <v>137</v>
      </c>
      <c r="C28" t="s">
        <v>37</v>
      </c>
      <c r="D28" t="s">
        <v>55</v>
      </c>
      <c r="E28">
        <v>3</v>
      </c>
      <c r="F28" t="s">
        <v>61</v>
      </c>
      <c r="G28" s="20" t="s">
        <v>68</v>
      </c>
      <c r="H28" t="s">
        <v>138</v>
      </c>
    </row>
    <row r="29" spans="1:8" x14ac:dyDescent="0.25">
      <c r="A29" t="s">
        <v>139</v>
      </c>
      <c r="B29" t="s">
        <v>140</v>
      </c>
      <c r="C29" t="s">
        <v>37</v>
      </c>
      <c r="D29" t="s">
        <v>55</v>
      </c>
      <c r="E29">
        <v>3</v>
      </c>
      <c r="F29" t="s">
        <v>61</v>
      </c>
      <c r="G29" s="20" t="s">
        <v>68</v>
      </c>
      <c r="H29" t="s">
        <v>141</v>
      </c>
    </row>
    <row r="30" spans="1:8" x14ac:dyDescent="0.25">
      <c r="A30" t="s">
        <v>142</v>
      </c>
      <c r="B30" t="s">
        <v>143</v>
      </c>
      <c r="C30" t="s">
        <v>37</v>
      </c>
      <c r="D30" t="s">
        <v>55</v>
      </c>
      <c r="E30">
        <v>3</v>
      </c>
      <c r="F30" t="s">
        <v>61</v>
      </c>
      <c r="G30" s="20" t="s">
        <v>68</v>
      </c>
      <c r="H30" t="s">
        <v>144</v>
      </c>
    </row>
    <row r="31" spans="1:8" x14ac:dyDescent="0.25">
      <c r="A31" t="s">
        <v>145</v>
      </c>
      <c r="B31" t="s">
        <v>146</v>
      </c>
      <c r="C31" t="s">
        <v>37</v>
      </c>
      <c r="D31" t="s">
        <v>55</v>
      </c>
      <c r="E31">
        <v>3</v>
      </c>
      <c r="F31" t="s">
        <v>61</v>
      </c>
      <c r="G31" s="20" t="s">
        <v>68</v>
      </c>
      <c r="H31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FormatPr defaultRowHeight="15" outlineLevelRow="0" outlineLevelCol="0" x14ac:dyDescent="55"/>
  <cols>
    <col min="1" max="1" width="16" customWidth="1"/>
    <col min="2" max="2" width="20" customWidth="1"/>
    <col min="3" max="3" width="16" customWidth="1"/>
    <col min="4" max="4" width="10" customWidth="1"/>
    <col min="5" max="5" width="16" customWidth="1"/>
    <col min="6" max="6" width="14" customWidth="1"/>
    <col min="7" max="7" width="12" customWidth="1"/>
    <col min="8" max="8" width="26" customWidth="1"/>
    <col min="9" max="9" width="24" customWidth="1"/>
    <col min="10" max="12" width="18" customWidth="1"/>
    <col min="13" max="13" width="24" customWidth="1"/>
  </cols>
  <sheetData>
    <row r="1" ht="26" customHeight="1" spans="1:13" s="21" customFormat="1" x14ac:dyDescent="0.25">
      <c r="A1" s="21" t="s">
        <v>148</v>
      </c>
      <c r="B1" s="21" t="s">
        <v>46</v>
      </c>
      <c r="C1" s="21" t="s">
        <v>149</v>
      </c>
      <c r="D1" s="21" t="s">
        <v>150</v>
      </c>
      <c r="E1" s="21" t="s">
        <v>151</v>
      </c>
      <c r="F1" s="21" t="s">
        <v>152</v>
      </c>
      <c r="G1" s="21" t="s">
        <v>153</v>
      </c>
      <c r="H1" s="21" t="s">
        <v>27</v>
      </c>
      <c r="I1" s="21" t="s">
        <v>154</v>
      </c>
      <c r="J1" s="21" t="s">
        <v>155</v>
      </c>
      <c r="K1" s="21" t="s">
        <v>156</v>
      </c>
      <c r="L1" s="21" t="s">
        <v>157</v>
      </c>
      <c r="M1" s="21" t="s">
        <v>158</v>
      </c>
    </row>
    <row r="2" spans="1:13" x14ac:dyDescent="0.25">
      <c r="A2" t="s">
        <v>159</v>
      </c>
      <c r="B2" t="s">
        <v>54</v>
      </c>
      <c r="D2" t="s">
        <v>160</v>
      </c>
      <c r="E2" s="20" t="s">
        <v>55</v>
      </c>
      <c r="F2">
        <v>1904</v>
      </c>
      <c r="G2" s="22" t="b">
        <v>0</v>
      </c>
      <c r="H2" t="s">
        <v>37</v>
      </c>
      <c r="I2" t="s">
        <v>161</v>
      </c>
      <c r="J2" t="s">
        <v>162</v>
      </c>
      <c r="K2" t="s">
        <v>163</v>
      </c>
      <c r="L2" t="s">
        <v>164</v>
      </c>
      <c r="M2" t="s">
        <v>165</v>
      </c>
    </row>
    <row r="3" spans="1:13" x14ac:dyDescent="0.25">
      <c r="A3" t="s">
        <v>166</v>
      </c>
      <c r="B3" t="s">
        <v>167</v>
      </c>
      <c r="D3" t="s">
        <v>168</v>
      </c>
      <c r="E3" t="s">
        <v>4</v>
      </c>
      <c r="F3">
        <v>298</v>
      </c>
      <c r="G3" s="23" t="b">
        <v>1</v>
      </c>
      <c r="H3" t="s">
        <v>39</v>
      </c>
      <c r="I3" t="s">
        <v>169</v>
      </c>
      <c r="J3" t="s">
        <v>170</v>
      </c>
      <c r="K3" t="s">
        <v>164</v>
      </c>
      <c r="L3" t="s">
        <v>171</v>
      </c>
      <c r="M3" t="s">
        <v>172</v>
      </c>
    </row>
    <row r="4" spans="1:13" x14ac:dyDescent="0.25">
      <c r="A4" t="s">
        <v>173</v>
      </c>
      <c r="B4" t="s">
        <v>174</v>
      </c>
      <c r="D4" t="s">
        <v>160</v>
      </c>
      <c r="E4" t="s">
        <v>4</v>
      </c>
      <c r="F4">
        <v>78</v>
      </c>
      <c r="G4" s="23" t="b">
        <v>1</v>
      </c>
      <c r="H4" t="s">
        <v>41</v>
      </c>
      <c r="I4" t="s">
        <v>175</v>
      </c>
      <c r="J4" t="s">
        <v>176</v>
      </c>
      <c r="K4" t="s">
        <v>171</v>
      </c>
      <c r="L4" t="s">
        <v>177</v>
      </c>
      <c r="M4" t="s">
        <v>178</v>
      </c>
    </row>
    <row r="5" spans="1:13" x14ac:dyDescent="0.25">
      <c r="A5" t="s">
        <v>179</v>
      </c>
      <c r="B5" t="s">
        <v>180</v>
      </c>
      <c r="D5" t="s">
        <v>181</v>
      </c>
      <c r="E5" t="s">
        <v>4</v>
      </c>
      <c r="F5">
        <v>74</v>
      </c>
      <c r="G5" s="23" t="b">
        <v>1</v>
      </c>
      <c r="H5" t="s">
        <v>43</v>
      </c>
      <c r="I5" t="s">
        <v>182</v>
      </c>
      <c r="J5" t="s">
        <v>183</v>
      </c>
      <c r="K5" t="s">
        <v>177</v>
      </c>
      <c r="L5" t="s">
        <v>184</v>
      </c>
      <c r="M5" t="s">
        <v>185</v>
      </c>
    </row>
    <row r="6" spans="1:13" x14ac:dyDescent="0.25">
      <c r="A6" t="s">
        <v>186</v>
      </c>
      <c r="B6" t="s">
        <v>187</v>
      </c>
      <c r="D6" t="s">
        <v>168</v>
      </c>
      <c r="E6" t="s">
        <v>4</v>
      </c>
      <c r="F6">
        <v>94</v>
      </c>
      <c r="G6" s="23" t="b">
        <v>1</v>
      </c>
      <c r="H6" t="s">
        <v>43</v>
      </c>
      <c r="I6" t="s">
        <v>188</v>
      </c>
      <c r="J6" t="s">
        <v>189</v>
      </c>
      <c r="K6" t="s">
        <v>184</v>
      </c>
      <c r="L6" t="s">
        <v>190</v>
      </c>
      <c r="M6" t="s">
        <v>191</v>
      </c>
    </row>
    <row r="7" spans="1:13" x14ac:dyDescent="0.25">
      <c r="A7" t="s">
        <v>192</v>
      </c>
      <c r="B7" t="s">
        <v>60</v>
      </c>
      <c r="D7" t="s">
        <v>160</v>
      </c>
      <c r="E7" s="20" t="s">
        <v>55</v>
      </c>
      <c r="F7">
        <v>373</v>
      </c>
      <c r="G7" s="22" t="b">
        <v>0</v>
      </c>
      <c r="H7" t="s">
        <v>37</v>
      </c>
      <c r="I7" t="s">
        <v>193</v>
      </c>
      <c r="J7" t="s">
        <v>194</v>
      </c>
      <c r="K7" t="s">
        <v>190</v>
      </c>
      <c r="L7" t="s">
        <v>195</v>
      </c>
      <c r="M7" t="s">
        <v>62</v>
      </c>
    </row>
    <row r="8" spans="1:13" x14ac:dyDescent="0.25">
      <c r="A8" t="s">
        <v>196</v>
      </c>
      <c r="B8" t="s">
        <v>197</v>
      </c>
      <c r="D8" t="s">
        <v>181</v>
      </c>
      <c r="E8" t="s">
        <v>4</v>
      </c>
      <c r="F8">
        <v>63</v>
      </c>
      <c r="G8" s="23" t="b">
        <v>1</v>
      </c>
      <c r="H8" t="s">
        <v>41</v>
      </c>
      <c r="I8" t="s">
        <v>198</v>
      </c>
      <c r="J8" t="s">
        <v>199</v>
      </c>
      <c r="K8" t="s">
        <v>195</v>
      </c>
      <c r="L8" t="s">
        <v>200</v>
      </c>
      <c r="M8" t="s">
        <v>201</v>
      </c>
    </row>
    <row r="9" spans="1:13" x14ac:dyDescent="0.25">
      <c r="A9" t="s">
        <v>202</v>
      </c>
      <c r="B9" t="s">
        <v>203</v>
      </c>
      <c r="D9" t="s">
        <v>181</v>
      </c>
      <c r="E9" t="s">
        <v>4</v>
      </c>
      <c r="F9">
        <v>156</v>
      </c>
      <c r="G9" s="23" t="b">
        <v>1</v>
      </c>
      <c r="H9" t="s">
        <v>39</v>
      </c>
      <c r="I9" t="s">
        <v>204</v>
      </c>
      <c r="J9" t="s">
        <v>205</v>
      </c>
      <c r="K9" t="s">
        <v>200</v>
      </c>
      <c r="L9" t="s">
        <v>206</v>
      </c>
      <c r="M9" t="s">
        <v>207</v>
      </c>
    </row>
    <row r="10" spans="1:13" x14ac:dyDescent="0.25">
      <c r="A10" t="s">
        <v>208</v>
      </c>
      <c r="B10" t="s">
        <v>209</v>
      </c>
      <c r="D10" t="s">
        <v>168</v>
      </c>
      <c r="E10" t="s">
        <v>4</v>
      </c>
      <c r="F10">
        <v>63</v>
      </c>
      <c r="G10" s="23" t="b">
        <v>1</v>
      </c>
      <c r="H10" t="s">
        <v>43</v>
      </c>
      <c r="I10" t="s">
        <v>210</v>
      </c>
      <c r="J10" t="s">
        <v>211</v>
      </c>
      <c r="K10" t="s">
        <v>206</v>
      </c>
      <c r="L10" t="s">
        <v>212</v>
      </c>
      <c r="M10" t="s">
        <v>213</v>
      </c>
    </row>
    <row r="11" spans="1:13" x14ac:dyDescent="0.25">
      <c r="A11" t="s">
        <v>214</v>
      </c>
      <c r="B11" t="s">
        <v>215</v>
      </c>
      <c r="D11" t="s">
        <v>181</v>
      </c>
      <c r="E11" t="s">
        <v>4</v>
      </c>
      <c r="F11">
        <v>157</v>
      </c>
      <c r="G11" s="23" t="b">
        <v>1</v>
      </c>
      <c r="H11" t="s">
        <v>43</v>
      </c>
      <c r="I11" t="s">
        <v>216</v>
      </c>
      <c r="J11" t="s">
        <v>217</v>
      </c>
      <c r="K11" t="s">
        <v>212</v>
      </c>
      <c r="L11" t="s">
        <v>218</v>
      </c>
      <c r="M11" t="s">
        <v>219</v>
      </c>
    </row>
    <row r="12" spans="1:13" x14ac:dyDescent="0.25">
      <c r="A12" t="s">
        <v>220</v>
      </c>
      <c r="B12" t="s">
        <v>221</v>
      </c>
      <c r="D12" t="s">
        <v>160</v>
      </c>
      <c r="E12" t="s">
        <v>4</v>
      </c>
      <c r="F12">
        <v>171</v>
      </c>
      <c r="G12" s="23" t="b">
        <v>1</v>
      </c>
      <c r="H12" t="s">
        <v>39</v>
      </c>
      <c r="I12" t="s">
        <v>222</v>
      </c>
      <c r="J12" t="s">
        <v>223</v>
      </c>
      <c r="K12" t="s">
        <v>218</v>
      </c>
      <c r="L12" t="s">
        <v>224</v>
      </c>
      <c r="M12" t="s">
        <v>225</v>
      </c>
    </row>
    <row r="13" spans="1:13" x14ac:dyDescent="0.25">
      <c r="A13" t="s">
        <v>226</v>
      </c>
      <c r="B13" t="s">
        <v>64</v>
      </c>
      <c r="D13" t="s">
        <v>181</v>
      </c>
      <c r="E13" s="20" t="s">
        <v>55</v>
      </c>
      <c r="F13">
        <v>93</v>
      </c>
      <c r="G13" s="22" t="b">
        <v>0</v>
      </c>
      <c r="H13" t="s">
        <v>37</v>
      </c>
      <c r="I13" t="s">
        <v>227</v>
      </c>
      <c r="J13" t="s">
        <v>228</v>
      </c>
      <c r="K13" t="s">
        <v>224</v>
      </c>
      <c r="L13" t="s">
        <v>229</v>
      </c>
      <c r="M13" t="s">
        <v>230</v>
      </c>
    </row>
    <row r="14" spans="1:13" x14ac:dyDescent="0.25">
      <c r="A14" t="s">
        <v>231</v>
      </c>
      <c r="B14" t="s">
        <v>232</v>
      </c>
      <c r="D14" t="s">
        <v>181</v>
      </c>
      <c r="E14" t="s">
        <v>4</v>
      </c>
      <c r="F14">
        <v>47</v>
      </c>
      <c r="G14" s="23" t="b">
        <v>1</v>
      </c>
      <c r="H14" t="s">
        <v>43</v>
      </c>
      <c r="I14" t="s">
        <v>233</v>
      </c>
      <c r="J14" t="s">
        <v>234</v>
      </c>
      <c r="K14" t="s">
        <v>229</v>
      </c>
      <c r="L14" t="s">
        <v>235</v>
      </c>
      <c r="M14" t="s">
        <v>236</v>
      </c>
    </row>
    <row r="15" spans="1:13" x14ac:dyDescent="0.25">
      <c r="A15" t="s">
        <v>237</v>
      </c>
      <c r="B15" t="s">
        <v>67</v>
      </c>
      <c r="D15" t="s">
        <v>181</v>
      </c>
      <c r="E15" s="20" t="s">
        <v>55</v>
      </c>
      <c r="F15">
        <v>125</v>
      </c>
      <c r="G15" s="22" t="b">
        <v>0</v>
      </c>
      <c r="H15" t="s">
        <v>37</v>
      </c>
      <c r="I15" t="s">
        <v>238</v>
      </c>
      <c r="J15" t="s">
        <v>239</v>
      </c>
      <c r="K15" t="s">
        <v>235</v>
      </c>
      <c r="L15" t="s">
        <v>240</v>
      </c>
      <c r="M15" t="s">
        <v>69</v>
      </c>
    </row>
    <row r="16" spans="1:13" x14ac:dyDescent="0.25">
      <c r="A16" t="s">
        <v>241</v>
      </c>
      <c r="B16" t="s">
        <v>71</v>
      </c>
      <c r="D16" t="s">
        <v>181</v>
      </c>
      <c r="E16" s="20" t="s">
        <v>55</v>
      </c>
      <c r="F16">
        <v>30</v>
      </c>
      <c r="G16" s="22" t="b">
        <v>0</v>
      </c>
      <c r="H16" t="s">
        <v>37</v>
      </c>
      <c r="I16" t="s">
        <v>242</v>
      </c>
      <c r="J16" t="s">
        <v>243</v>
      </c>
      <c r="K16" t="s">
        <v>240</v>
      </c>
      <c r="L16" t="s">
        <v>244</v>
      </c>
      <c r="M16" t="s">
        <v>245</v>
      </c>
    </row>
    <row r="17" spans="1:13" x14ac:dyDescent="0.25">
      <c r="A17" t="s">
        <v>246</v>
      </c>
      <c r="B17" t="s">
        <v>247</v>
      </c>
      <c r="D17" t="s">
        <v>160</v>
      </c>
      <c r="E17" t="s">
        <v>4</v>
      </c>
      <c r="F17">
        <v>57</v>
      </c>
      <c r="G17" s="23" t="b">
        <v>1</v>
      </c>
      <c r="H17" t="s">
        <v>39</v>
      </c>
      <c r="I17" t="s">
        <v>248</v>
      </c>
      <c r="J17" t="s">
        <v>249</v>
      </c>
      <c r="K17" t="s">
        <v>244</v>
      </c>
      <c r="L17" t="s">
        <v>250</v>
      </c>
      <c r="M17" t="s">
        <v>251</v>
      </c>
    </row>
    <row r="18" spans="1:13" x14ac:dyDescent="0.25">
      <c r="A18" t="s">
        <v>252</v>
      </c>
      <c r="B18" t="s">
        <v>253</v>
      </c>
      <c r="D18" t="s">
        <v>168</v>
      </c>
      <c r="E18" t="s">
        <v>4</v>
      </c>
      <c r="F18">
        <v>110</v>
      </c>
      <c r="G18" s="23" t="b">
        <v>1</v>
      </c>
      <c r="H18" t="s">
        <v>43</v>
      </c>
      <c r="I18" t="s">
        <v>254</v>
      </c>
      <c r="J18" t="s">
        <v>255</v>
      </c>
      <c r="K18" t="s">
        <v>250</v>
      </c>
      <c r="L18" t="s">
        <v>256</v>
      </c>
      <c r="M18" t="s">
        <v>257</v>
      </c>
    </row>
    <row r="19" spans="1:13" x14ac:dyDescent="0.25">
      <c r="A19" t="s">
        <v>258</v>
      </c>
      <c r="B19" t="s">
        <v>259</v>
      </c>
      <c r="D19" t="s">
        <v>160</v>
      </c>
      <c r="E19" s="20" t="s">
        <v>260</v>
      </c>
      <c r="F19">
        <v>0</v>
      </c>
      <c r="G19" s="22" t="b">
        <v>0</v>
      </c>
      <c r="H19" t="s">
        <v>39</v>
      </c>
      <c r="I19" t="s">
        <v>261</v>
      </c>
      <c r="J19" t="s">
        <v>262</v>
      </c>
      <c r="K19" t="s">
        <v>256</v>
      </c>
      <c r="L19" t="s">
        <v>263</v>
      </c>
      <c r="M19" t="s">
        <v>264</v>
      </c>
    </row>
    <row r="20" spans="1:13" x14ac:dyDescent="0.25">
      <c r="A20" t="s">
        <v>265</v>
      </c>
      <c r="B20" t="s">
        <v>266</v>
      </c>
      <c r="D20" t="s">
        <v>160</v>
      </c>
      <c r="E20" t="s">
        <v>4</v>
      </c>
      <c r="F20">
        <v>78</v>
      </c>
      <c r="G20" s="23" t="b">
        <v>1</v>
      </c>
      <c r="H20" t="s">
        <v>39</v>
      </c>
      <c r="I20" t="s">
        <v>267</v>
      </c>
      <c r="J20" t="s">
        <v>268</v>
      </c>
      <c r="K20" t="s">
        <v>263</v>
      </c>
      <c r="L20" t="s">
        <v>269</v>
      </c>
      <c r="M20" t="s">
        <v>270</v>
      </c>
    </row>
    <row r="21" spans="1:13" x14ac:dyDescent="0.25">
      <c r="A21" t="s">
        <v>271</v>
      </c>
      <c r="B21" t="s">
        <v>272</v>
      </c>
      <c r="D21" t="s">
        <v>181</v>
      </c>
      <c r="E21" t="s">
        <v>4</v>
      </c>
      <c r="F21">
        <v>156</v>
      </c>
      <c r="G21" s="23" t="b">
        <v>1</v>
      </c>
      <c r="H21" t="s">
        <v>41</v>
      </c>
      <c r="I21" t="s">
        <v>273</v>
      </c>
      <c r="J21" t="s">
        <v>274</v>
      </c>
      <c r="K21" t="s">
        <v>269</v>
      </c>
      <c r="L21" t="s">
        <v>275</v>
      </c>
      <c r="M21" t="s">
        <v>276</v>
      </c>
    </row>
    <row r="22" spans="1:13" x14ac:dyDescent="0.25">
      <c r="A22" t="s">
        <v>277</v>
      </c>
      <c r="B22" t="s">
        <v>74</v>
      </c>
      <c r="D22" t="s">
        <v>160</v>
      </c>
      <c r="E22" s="20" t="s">
        <v>55</v>
      </c>
      <c r="F22">
        <v>63</v>
      </c>
      <c r="G22" s="22" t="b">
        <v>0</v>
      </c>
      <c r="H22" t="s">
        <v>37</v>
      </c>
      <c r="I22" t="s">
        <v>278</v>
      </c>
      <c r="J22" t="s">
        <v>279</v>
      </c>
      <c r="K22" t="s">
        <v>275</v>
      </c>
      <c r="L22" t="s">
        <v>280</v>
      </c>
      <c r="M22" t="s">
        <v>75</v>
      </c>
    </row>
    <row r="23" spans="1:13" x14ac:dyDescent="0.25">
      <c r="A23" t="s">
        <v>281</v>
      </c>
      <c r="B23" t="s">
        <v>282</v>
      </c>
      <c r="D23" t="s">
        <v>168</v>
      </c>
      <c r="E23" t="s">
        <v>4</v>
      </c>
      <c r="F23">
        <v>62</v>
      </c>
      <c r="G23" s="23" t="b">
        <v>1</v>
      </c>
      <c r="H23" t="s">
        <v>43</v>
      </c>
      <c r="I23" t="s">
        <v>283</v>
      </c>
      <c r="J23" t="s">
        <v>284</v>
      </c>
      <c r="K23" t="s">
        <v>280</v>
      </c>
      <c r="L23" t="s">
        <v>285</v>
      </c>
      <c r="M23" t="s">
        <v>286</v>
      </c>
    </row>
    <row r="24" spans="1:13" x14ac:dyDescent="0.25">
      <c r="A24" t="s">
        <v>287</v>
      </c>
      <c r="B24" t="s">
        <v>77</v>
      </c>
      <c r="D24" t="s">
        <v>181</v>
      </c>
      <c r="E24" s="20" t="s">
        <v>55</v>
      </c>
      <c r="F24">
        <v>91</v>
      </c>
      <c r="G24" s="22" t="b">
        <v>0</v>
      </c>
      <c r="H24" t="s">
        <v>37</v>
      </c>
      <c r="I24" t="s">
        <v>288</v>
      </c>
      <c r="J24" t="s">
        <v>289</v>
      </c>
      <c r="K24" t="s">
        <v>285</v>
      </c>
      <c r="L24" t="s">
        <v>290</v>
      </c>
      <c r="M24" t="s">
        <v>78</v>
      </c>
    </row>
    <row r="25" spans="1:13" x14ac:dyDescent="0.25">
      <c r="A25" t="s">
        <v>291</v>
      </c>
      <c r="B25" t="s">
        <v>292</v>
      </c>
      <c r="D25" t="s">
        <v>181</v>
      </c>
      <c r="E25" t="s">
        <v>4</v>
      </c>
      <c r="F25">
        <v>32</v>
      </c>
      <c r="G25" s="23" t="b">
        <v>1</v>
      </c>
      <c r="H25" t="s">
        <v>41</v>
      </c>
      <c r="I25" t="s">
        <v>293</v>
      </c>
      <c r="J25" t="s">
        <v>294</v>
      </c>
      <c r="K25" t="s">
        <v>290</v>
      </c>
      <c r="L25" t="s">
        <v>295</v>
      </c>
      <c r="M25" t="s">
        <v>296</v>
      </c>
    </row>
    <row r="26" spans="1:13" x14ac:dyDescent="0.25">
      <c r="A26" t="s">
        <v>297</v>
      </c>
      <c r="B26" t="s">
        <v>80</v>
      </c>
      <c r="D26" t="s">
        <v>168</v>
      </c>
      <c r="E26" s="20" t="s">
        <v>55</v>
      </c>
      <c r="F26">
        <v>32</v>
      </c>
      <c r="G26" s="22" t="b">
        <v>0</v>
      </c>
      <c r="H26" t="s">
        <v>37</v>
      </c>
      <c r="I26" t="s">
        <v>298</v>
      </c>
      <c r="J26" t="s">
        <v>299</v>
      </c>
      <c r="K26" t="s">
        <v>295</v>
      </c>
      <c r="L26" t="s">
        <v>300</v>
      </c>
      <c r="M26" t="s">
        <v>81</v>
      </c>
    </row>
    <row r="27" spans="1:13" x14ac:dyDescent="0.25">
      <c r="A27" t="s">
        <v>301</v>
      </c>
      <c r="B27" t="s">
        <v>83</v>
      </c>
      <c r="D27" t="s">
        <v>168</v>
      </c>
      <c r="E27" s="20" t="s">
        <v>55</v>
      </c>
      <c r="F27">
        <v>110</v>
      </c>
      <c r="G27" s="22" t="b">
        <v>0</v>
      </c>
      <c r="H27" t="s">
        <v>37</v>
      </c>
      <c r="I27" t="s">
        <v>302</v>
      </c>
      <c r="J27" t="s">
        <v>303</v>
      </c>
      <c r="K27" t="s">
        <v>300</v>
      </c>
      <c r="L27" t="s">
        <v>304</v>
      </c>
      <c r="M27" t="s">
        <v>84</v>
      </c>
    </row>
    <row r="28" spans="1:13" x14ac:dyDescent="0.25">
      <c r="A28" t="s">
        <v>305</v>
      </c>
      <c r="B28" t="s">
        <v>86</v>
      </c>
      <c r="D28" t="s">
        <v>181</v>
      </c>
      <c r="E28" s="20" t="s">
        <v>55</v>
      </c>
      <c r="F28">
        <v>62</v>
      </c>
      <c r="G28" s="22" t="b">
        <v>0</v>
      </c>
      <c r="H28" t="s">
        <v>37</v>
      </c>
      <c r="I28" t="s">
        <v>306</v>
      </c>
      <c r="J28" t="s">
        <v>307</v>
      </c>
      <c r="K28" t="s">
        <v>304</v>
      </c>
      <c r="L28" t="s">
        <v>308</v>
      </c>
      <c r="M28" t="s">
        <v>87</v>
      </c>
    </row>
    <row r="29" spans="1:13" x14ac:dyDescent="0.25">
      <c r="A29" t="s">
        <v>309</v>
      </c>
      <c r="B29" t="s">
        <v>310</v>
      </c>
      <c r="D29" t="s">
        <v>160</v>
      </c>
      <c r="E29" t="s">
        <v>4</v>
      </c>
      <c r="F29">
        <v>63</v>
      </c>
      <c r="G29" s="23" t="b">
        <v>1</v>
      </c>
      <c r="H29" t="s">
        <v>41</v>
      </c>
      <c r="I29" t="s">
        <v>311</v>
      </c>
      <c r="J29" t="s">
        <v>312</v>
      </c>
      <c r="K29" t="s">
        <v>308</v>
      </c>
      <c r="L29" t="s">
        <v>313</v>
      </c>
      <c r="M29" t="s">
        <v>314</v>
      </c>
    </row>
    <row r="30" spans="1:13" x14ac:dyDescent="0.25">
      <c r="A30" t="s">
        <v>315</v>
      </c>
      <c r="B30" t="s">
        <v>316</v>
      </c>
      <c r="D30" t="s">
        <v>168</v>
      </c>
      <c r="E30" t="s">
        <v>4</v>
      </c>
      <c r="F30">
        <v>78</v>
      </c>
      <c r="G30" s="23" t="b">
        <v>1</v>
      </c>
      <c r="H30" t="s">
        <v>43</v>
      </c>
      <c r="I30" t="s">
        <v>317</v>
      </c>
      <c r="J30" t="s">
        <v>318</v>
      </c>
      <c r="K30" t="s">
        <v>313</v>
      </c>
      <c r="L30" t="s">
        <v>319</v>
      </c>
      <c r="M30" t="s">
        <v>320</v>
      </c>
    </row>
    <row r="31" spans="1:13" x14ac:dyDescent="0.25">
      <c r="A31" t="s">
        <v>321</v>
      </c>
      <c r="B31" t="s">
        <v>89</v>
      </c>
      <c r="D31" t="s">
        <v>160</v>
      </c>
      <c r="E31" s="20" t="s">
        <v>55</v>
      </c>
      <c r="F31">
        <v>88</v>
      </c>
      <c r="G31" s="22" t="b">
        <v>0</v>
      </c>
      <c r="H31" t="s">
        <v>37</v>
      </c>
      <c r="I31" t="s">
        <v>322</v>
      </c>
      <c r="J31" t="s">
        <v>323</v>
      </c>
      <c r="K31" t="s">
        <v>319</v>
      </c>
      <c r="L31" t="s">
        <v>324</v>
      </c>
      <c r="M31" t="s">
        <v>90</v>
      </c>
    </row>
    <row r="32" spans="1:13" x14ac:dyDescent="0.25">
      <c r="A32" t="s">
        <v>325</v>
      </c>
      <c r="B32" t="s">
        <v>326</v>
      </c>
      <c r="D32" t="s">
        <v>160</v>
      </c>
      <c r="E32" t="s">
        <v>4</v>
      </c>
      <c r="F32">
        <v>78</v>
      </c>
      <c r="G32" s="23" t="b">
        <v>1</v>
      </c>
      <c r="H32" t="s">
        <v>43</v>
      </c>
      <c r="I32" t="s">
        <v>327</v>
      </c>
      <c r="J32" t="s">
        <v>328</v>
      </c>
      <c r="K32" t="s">
        <v>324</v>
      </c>
      <c r="L32" t="s">
        <v>329</v>
      </c>
      <c r="M32" t="s">
        <v>330</v>
      </c>
    </row>
    <row r="33" spans="1:13" x14ac:dyDescent="0.25">
      <c r="A33" t="s">
        <v>331</v>
      </c>
      <c r="B33" t="s">
        <v>332</v>
      </c>
      <c r="D33" t="s">
        <v>160</v>
      </c>
      <c r="E33" t="s">
        <v>4</v>
      </c>
      <c r="F33">
        <v>109</v>
      </c>
      <c r="G33" s="23" t="b">
        <v>1</v>
      </c>
      <c r="H33" t="s">
        <v>39</v>
      </c>
      <c r="I33" t="s">
        <v>333</v>
      </c>
      <c r="J33" t="s">
        <v>334</v>
      </c>
      <c r="K33" t="s">
        <v>329</v>
      </c>
      <c r="L33" t="s">
        <v>335</v>
      </c>
      <c r="M33" t="s">
        <v>336</v>
      </c>
    </row>
    <row r="34" spans="1:13" x14ac:dyDescent="0.25">
      <c r="A34" t="s">
        <v>337</v>
      </c>
      <c r="B34" t="s">
        <v>338</v>
      </c>
      <c r="D34" t="s">
        <v>160</v>
      </c>
      <c r="E34" t="s">
        <v>4</v>
      </c>
      <c r="F34">
        <v>94</v>
      </c>
      <c r="G34" s="23" t="b">
        <v>1</v>
      </c>
      <c r="H34" t="s">
        <v>43</v>
      </c>
      <c r="I34" t="s">
        <v>339</v>
      </c>
      <c r="J34" t="s">
        <v>340</v>
      </c>
      <c r="K34" t="s">
        <v>335</v>
      </c>
      <c r="L34" t="s">
        <v>341</v>
      </c>
      <c r="M34" t="s">
        <v>342</v>
      </c>
    </row>
    <row r="35" spans="1:13" x14ac:dyDescent="0.25">
      <c r="A35" t="s">
        <v>343</v>
      </c>
      <c r="B35" t="s">
        <v>344</v>
      </c>
      <c r="D35" t="s">
        <v>181</v>
      </c>
      <c r="E35" t="s">
        <v>4</v>
      </c>
      <c r="F35">
        <v>95</v>
      </c>
      <c r="G35" s="23" t="b">
        <v>1</v>
      </c>
      <c r="H35" t="s">
        <v>43</v>
      </c>
      <c r="I35" t="s">
        <v>345</v>
      </c>
      <c r="J35" t="s">
        <v>346</v>
      </c>
      <c r="K35" t="s">
        <v>341</v>
      </c>
      <c r="L35" t="s">
        <v>347</v>
      </c>
      <c r="M35" t="s">
        <v>348</v>
      </c>
    </row>
    <row r="36" spans="1:13" x14ac:dyDescent="0.25">
      <c r="A36" t="s">
        <v>349</v>
      </c>
      <c r="B36" t="s">
        <v>92</v>
      </c>
      <c r="D36" t="s">
        <v>168</v>
      </c>
      <c r="E36" s="20" t="s">
        <v>55</v>
      </c>
      <c r="F36">
        <v>78</v>
      </c>
      <c r="G36" s="22" t="b">
        <v>0</v>
      </c>
      <c r="H36" t="s">
        <v>37</v>
      </c>
      <c r="I36" t="s">
        <v>350</v>
      </c>
      <c r="J36" t="s">
        <v>351</v>
      </c>
      <c r="K36" t="s">
        <v>347</v>
      </c>
      <c r="L36" t="s">
        <v>352</v>
      </c>
      <c r="M36" t="s">
        <v>93</v>
      </c>
    </row>
    <row r="37" spans="1:13" x14ac:dyDescent="0.25">
      <c r="A37" t="s">
        <v>353</v>
      </c>
      <c r="B37" t="s">
        <v>354</v>
      </c>
      <c r="D37" t="s">
        <v>168</v>
      </c>
      <c r="E37" s="20" t="s">
        <v>260</v>
      </c>
      <c r="F37">
        <v>0</v>
      </c>
      <c r="G37" s="22" t="b">
        <v>0</v>
      </c>
      <c r="H37" t="s">
        <v>39</v>
      </c>
      <c r="I37" t="s">
        <v>261</v>
      </c>
      <c r="J37" t="s">
        <v>262</v>
      </c>
      <c r="K37" t="s">
        <v>352</v>
      </c>
      <c r="L37" t="s">
        <v>355</v>
      </c>
      <c r="M37" t="s">
        <v>93</v>
      </c>
    </row>
    <row r="38" spans="1:13" x14ac:dyDescent="0.25">
      <c r="A38" t="s">
        <v>356</v>
      </c>
      <c r="B38" t="s">
        <v>357</v>
      </c>
      <c r="D38" t="s">
        <v>181</v>
      </c>
      <c r="E38" t="s">
        <v>4</v>
      </c>
      <c r="F38">
        <v>93</v>
      </c>
      <c r="G38" s="23" t="b">
        <v>1</v>
      </c>
      <c r="H38" t="s">
        <v>43</v>
      </c>
      <c r="I38" t="s">
        <v>358</v>
      </c>
      <c r="J38" t="s">
        <v>359</v>
      </c>
      <c r="K38" t="s">
        <v>355</v>
      </c>
      <c r="L38" t="s">
        <v>360</v>
      </c>
      <c r="M38" t="s">
        <v>361</v>
      </c>
    </row>
    <row r="39" spans="1:13" x14ac:dyDescent="0.25">
      <c r="A39" t="s">
        <v>362</v>
      </c>
      <c r="B39" t="s">
        <v>363</v>
      </c>
      <c r="D39" t="s">
        <v>181</v>
      </c>
      <c r="E39" t="s">
        <v>4</v>
      </c>
      <c r="F39">
        <v>63</v>
      </c>
      <c r="G39" s="23" t="b">
        <v>1</v>
      </c>
      <c r="H39" t="s">
        <v>41</v>
      </c>
      <c r="I39" t="s">
        <v>364</v>
      </c>
      <c r="J39" t="s">
        <v>365</v>
      </c>
      <c r="K39" t="s">
        <v>360</v>
      </c>
      <c r="L39" t="s">
        <v>366</v>
      </c>
      <c r="M39" t="s">
        <v>367</v>
      </c>
    </row>
    <row r="40" spans="1:13" x14ac:dyDescent="0.25">
      <c r="A40" t="s">
        <v>368</v>
      </c>
      <c r="B40" t="s">
        <v>369</v>
      </c>
      <c r="D40" t="s">
        <v>160</v>
      </c>
      <c r="E40" t="s">
        <v>4</v>
      </c>
      <c r="F40">
        <v>31</v>
      </c>
      <c r="G40" s="23" t="b">
        <v>1</v>
      </c>
      <c r="H40" t="s">
        <v>41</v>
      </c>
      <c r="I40" t="s">
        <v>370</v>
      </c>
      <c r="J40" t="s">
        <v>371</v>
      </c>
      <c r="K40" t="s">
        <v>366</v>
      </c>
      <c r="L40" t="s">
        <v>372</v>
      </c>
      <c r="M40" t="s">
        <v>373</v>
      </c>
    </row>
    <row r="41" spans="1:13" x14ac:dyDescent="0.25">
      <c r="A41" t="s">
        <v>374</v>
      </c>
      <c r="B41" t="s">
        <v>95</v>
      </c>
      <c r="D41" t="s">
        <v>181</v>
      </c>
      <c r="E41" s="20" t="s">
        <v>55</v>
      </c>
      <c r="F41">
        <v>31</v>
      </c>
      <c r="G41" s="22" t="b">
        <v>0</v>
      </c>
      <c r="H41" t="s">
        <v>37</v>
      </c>
      <c r="I41" t="s">
        <v>375</v>
      </c>
      <c r="J41" t="s">
        <v>376</v>
      </c>
      <c r="K41" t="s">
        <v>372</v>
      </c>
      <c r="L41" t="s">
        <v>377</v>
      </c>
      <c r="M41" t="s">
        <v>96</v>
      </c>
    </row>
    <row r="42" spans="1:13" x14ac:dyDescent="0.25">
      <c r="A42" t="s">
        <v>378</v>
      </c>
      <c r="B42" t="s">
        <v>379</v>
      </c>
      <c r="D42" t="s">
        <v>181</v>
      </c>
      <c r="E42" t="s">
        <v>4</v>
      </c>
      <c r="F42">
        <v>141</v>
      </c>
      <c r="G42" s="23" t="b">
        <v>1</v>
      </c>
      <c r="H42" t="s">
        <v>39</v>
      </c>
      <c r="I42" t="s">
        <v>380</v>
      </c>
      <c r="J42" t="s">
        <v>381</v>
      </c>
      <c r="K42" t="s">
        <v>377</v>
      </c>
      <c r="L42" t="s">
        <v>382</v>
      </c>
      <c r="M42" t="s">
        <v>383</v>
      </c>
    </row>
    <row r="43" spans="1:13" x14ac:dyDescent="0.25">
      <c r="A43" t="s">
        <v>384</v>
      </c>
      <c r="B43" t="s">
        <v>98</v>
      </c>
      <c r="D43" t="s">
        <v>168</v>
      </c>
      <c r="E43" s="20" t="s">
        <v>55</v>
      </c>
      <c r="F43">
        <v>94</v>
      </c>
      <c r="G43" s="22" t="b">
        <v>0</v>
      </c>
      <c r="H43" t="s">
        <v>37</v>
      </c>
      <c r="I43" t="s">
        <v>385</v>
      </c>
      <c r="J43" t="s">
        <v>386</v>
      </c>
      <c r="K43" t="s">
        <v>382</v>
      </c>
      <c r="L43" t="s">
        <v>387</v>
      </c>
      <c r="M43" t="s">
        <v>388</v>
      </c>
    </row>
    <row r="44" spans="1:13" x14ac:dyDescent="0.25">
      <c r="A44" t="s">
        <v>389</v>
      </c>
      <c r="B44" t="s">
        <v>390</v>
      </c>
      <c r="D44" t="s">
        <v>168</v>
      </c>
      <c r="E44" t="s">
        <v>4</v>
      </c>
      <c r="F44">
        <v>47</v>
      </c>
      <c r="G44" s="23" t="b">
        <v>1</v>
      </c>
      <c r="H44" t="s">
        <v>41</v>
      </c>
      <c r="I44" t="s">
        <v>391</v>
      </c>
      <c r="J44" t="s">
        <v>392</v>
      </c>
      <c r="K44" t="s">
        <v>387</v>
      </c>
      <c r="L44" t="s">
        <v>393</v>
      </c>
      <c r="M44" t="s">
        <v>394</v>
      </c>
    </row>
    <row r="45" spans="1:13" x14ac:dyDescent="0.25">
      <c r="A45" t="s">
        <v>395</v>
      </c>
      <c r="B45" t="s">
        <v>396</v>
      </c>
      <c r="D45" t="s">
        <v>160</v>
      </c>
      <c r="E45" t="s">
        <v>4</v>
      </c>
      <c r="F45">
        <v>263</v>
      </c>
      <c r="G45" s="23" t="b">
        <v>1</v>
      </c>
      <c r="H45" t="s">
        <v>39</v>
      </c>
      <c r="I45" t="s">
        <v>397</v>
      </c>
      <c r="J45" t="s">
        <v>398</v>
      </c>
      <c r="K45" t="s">
        <v>393</v>
      </c>
      <c r="L45" t="s">
        <v>399</v>
      </c>
      <c r="M45" t="s">
        <v>400</v>
      </c>
    </row>
    <row r="46" spans="1:13" x14ac:dyDescent="0.25">
      <c r="A46" t="s">
        <v>401</v>
      </c>
      <c r="B46" t="s">
        <v>402</v>
      </c>
      <c r="D46" t="s">
        <v>168</v>
      </c>
      <c r="E46" t="s">
        <v>4</v>
      </c>
      <c r="F46">
        <v>62</v>
      </c>
      <c r="G46" s="23" t="b">
        <v>1</v>
      </c>
      <c r="H46" t="s">
        <v>41</v>
      </c>
      <c r="I46" t="s">
        <v>403</v>
      </c>
      <c r="J46" t="s">
        <v>404</v>
      </c>
      <c r="K46" t="s">
        <v>399</v>
      </c>
      <c r="L46" t="s">
        <v>405</v>
      </c>
      <c r="M46" t="s">
        <v>406</v>
      </c>
    </row>
    <row r="47" spans="1:13" x14ac:dyDescent="0.25">
      <c r="A47" t="s">
        <v>407</v>
      </c>
      <c r="B47" t="s">
        <v>408</v>
      </c>
      <c r="D47" t="s">
        <v>168</v>
      </c>
      <c r="E47" t="s">
        <v>4</v>
      </c>
      <c r="F47">
        <v>151</v>
      </c>
      <c r="G47" s="23" t="b">
        <v>1</v>
      </c>
      <c r="H47" t="s">
        <v>39</v>
      </c>
      <c r="I47" t="s">
        <v>409</v>
      </c>
      <c r="J47" t="s">
        <v>410</v>
      </c>
      <c r="K47" t="s">
        <v>405</v>
      </c>
      <c r="L47" t="s">
        <v>411</v>
      </c>
      <c r="M47" t="s">
        <v>412</v>
      </c>
    </row>
    <row r="48" spans="1:13" x14ac:dyDescent="0.25">
      <c r="A48" t="s">
        <v>413</v>
      </c>
      <c r="B48" t="s">
        <v>414</v>
      </c>
      <c r="D48" t="s">
        <v>168</v>
      </c>
      <c r="E48" t="s">
        <v>4</v>
      </c>
      <c r="F48">
        <v>85</v>
      </c>
      <c r="G48" s="23" t="b">
        <v>1</v>
      </c>
      <c r="H48" t="s">
        <v>43</v>
      </c>
      <c r="I48" t="s">
        <v>415</v>
      </c>
      <c r="J48" t="s">
        <v>416</v>
      </c>
      <c r="K48" t="s">
        <v>411</v>
      </c>
      <c r="L48" t="s">
        <v>417</v>
      </c>
      <c r="M48" t="s">
        <v>418</v>
      </c>
    </row>
    <row r="49" spans="1:13" x14ac:dyDescent="0.25">
      <c r="A49" t="s">
        <v>419</v>
      </c>
      <c r="B49" t="s">
        <v>420</v>
      </c>
      <c r="D49" t="s">
        <v>181</v>
      </c>
      <c r="E49" t="s">
        <v>4</v>
      </c>
      <c r="F49">
        <v>49</v>
      </c>
      <c r="G49" s="23" t="b">
        <v>1</v>
      </c>
      <c r="H49" t="s">
        <v>43</v>
      </c>
      <c r="I49" t="s">
        <v>421</v>
      </c>
      <c r="J49" t="s">
        <v>422</v>
      </c>
      <c r="K49" t="s">
        <v>417</v>
      </c>
      <c r="L49" t="s">
        <v>423</v>
      </c>
      <c r="M49" t="s">
        <v>424</v>
      </c>
    </row>
    <row r="50" spans="1:13" x14ac:dyDescent="0.25">
      <c r="A50" t="s">
        <v>425</v>
      </c>
      <c r="B50" t="s">
        <v>101</v>
      </c>
      <c r="D50" t="s">
        <v>181</v>
      </c>
      <c r="E50" s="20" t="s">
        <v>55</v>
      </c>
      <c r="F50">
        <v>83</v>
      </c>
      <c r="G50" s="22" t="b">
        <v>0</v>
      </c>
      <c r="H50" t="s">
        <v>37</v>
      </c>
      <c r="I50" t="s">
        <v>426</v>
      </c>
      <c r="J50" t="s">
        <v>427</v>
      </c>
      <c r="K50" t="s">
        <v>423</v>
      </c>
      <c r="L50" t="s">
        <v>428</v>
      </c>
      <c r="M50" t="s">
        <v>102</v>
      </c>
    </row>
    <row r="51" spans="1:13" x14ac:dyDescent="0.25">
      <c r="A51" t="s">
        <v>429</v>
      </c>
      <c r="B51" t="s">
        <v>430</v>
      </c>
      <c r="D51" t="s">
        <v>160</v>
      </c>
      <c r="E51" t="s">
        <v>4</v>
      </c>
      <c r="F51">
        <v>66</v>
      </c>
      <c r="G51" s="23" t="b">
        <v>1</v>
      </c>
      <c r="H51" t="s">
        <v>41</v>
      </c>
      <c r="I51" t="s">
        <v>431</v>
      </c>
      <c r="J51" t="s">
        <v>432</v>
      </c>
      <c r="K51" t="s">
        <v>428</v>
      </c>
      <c r="L51" t="s">
        <v>433</v>
      </c>
      <c r="M51" t="s">
        <v>434</v>
      </c>
    </row>
    <row r="52" spans="1:13" x14ac:dyDescent="0.25">
      <c r="A52" t="s">
        <v>435</v>
      </c>
      <c r="B52" t="s">
        <v>436</v>
      </c>
      <c r="D52" t="s">
        <v>181</v>
      </c>
      <c r="E52" t="s">
        <v>4</v>
      </c>
      <c r="F52">
        <v>50</v>
      </c>
      <c r="G52" s="23" t="b">
        <v>1</v>
      </c>
      <c r="H52" t="s">
        <v>43</v>
      </c>
      <c r="I52" t="s">
        <v>437</v>
      </c>
      <c r="J52" t="s">
        <v>438</v>
      </c>
      <c r="K52" t="s">
        <v>433</v>
      </c>
      <c r="L52" t="s">
        <v>439</v>
      </c>
      <c r="M52" t="s">
        <v>440</v>
      </c>
    </row>
    <row r="53" spans="1:13" x14ac:dyDescent="0.25">
      <c r="A53" t="s">
        <v>441</v>
      </c>
      <c r="B53" t="s">
        <v>104</v>
      </c>
      <c r="D53" t="s">
        <v>160</v>
      </c>
      <c r="E53" s="20" t="s">
        <v>55</v>
      </c>
      <c r="F53">
        <v>83</v>
      </c>
      <c r="G53" s="22" t="b">
        <v>0</v>
      </c>
      <c r="H53" t="s">
        <v>37</v>
      </c>
      <c r="I53" t="s">
        <v>442</v>
      </c>
      <c r="J53" t="s">
        <v>443</v>
      </c>
      <c r="K53" t="s">
        <v>439</v>
      </c>
      <c r="L53" t="s">
        <v>444</v>
      </c>
      <c r="M53" t="s">
        <v>105</v>
      </c>
    </row>
    <row r="54" spans="1:13" x14ac:dyDescent="0.25">
      <c r="A54" t="s">
        <v>445</v>
      </c>
      <c r="B54" t="s">
        <v>107</v>
      </c>
      <c r="D54" t="s">
        <v>181</v>
      </c>
      <c r="E54" s="20" t="s">
        <v>55</v>
      </c>
      <c r="F54">
        <v>65</v>
      </c>
      <c r="G54" s="22" t="b">
        <v>0</v>
      </c>
      <c r="H54" t="s">
        <v>37</v>
      </c>
      <c r="I54" t="s">
        <v>446</v>
      </c>
      <c r="J54" t="s">
        <v>447</v>
      </c>
      <c r="K54" t="s">
        <v>444</v>
      </c>
      <c r="L54" t="s">
        <v>448</v>
      </c>
      <c r="M54" t="s">
        <v>108</v>
      </c>
    </row>
    <row r="55" spans="1:13" x14ac:dyDescent="0.25">
      <c r="A55" t="s">
        <v>449</v>
      </c>
      <c r="B55" t="s">
        <v>450</v>
      </c>
      <c r="D55" t="s">
        <v>160</v>
      </c>
      <c r="E55" s="20" t="s">
        <v>260</v>
      </c>
      <c r="F55">
        <v>0</v>
      </c>
      <c r="G55" s="22" t="b">
        <v>0</v>
      </c>
      <c r="H55" t="s">
        <v>43</v>
      </c>
      <c r="I55" t="s">
        <v>261</v>
      </c>
      <c r="J55" t="s">
        <v>262</v>
      </c>
      <c r="K55" t="s">
        <v>448</v>
      </c>
      <c r="L55" t="s">
        <v>451</v>
      </c>
      <c r="M55" t="s">
        <v>452</v>
      </c>
    </row>
    <row r="56" spans="1:13" x14ac:dyDescent="0.25">
      <c r="A56" t="s">
        <v>453</v>
      </c>
      <c r="B56" t="s">
        <v>110</v>
      </c>
      <c r="D56" t="s">
        <v>181</v>
      </c>
      <c r="E56" s="20" t="s">
        <v>55</v>
      </c>
      <c r="F56">
        <v>916</v>
      </c>
      <c r="G56" s="22" t="b">
        <v>0</v>
      </c>
      <c r="H56" t="s">
        <v>37</v>
      </c>
      <c r="I56" t="s">
        <v>454</v>
      </c>
      <c r="J56" t="s">
        <v>455</v>
      </c>
      <c r="K56" t="s">
        <v>451</v>
      </c>
      <c r="L56" t="s">
        <v>456</v>
      </c>
      <c r="M56" t="s">
        <v>111</v>
      </c>
    </row>
    <row r="57" spans="1:13" x14ac:dyDescent="0.25">
      <c r="A57" t="s">
        <v>457</v>
      </c>
      <c r="B57" t="s">
        <v>458</v>
      </c>
      <c r="D57" t="s">
        <v>168</v>
      </c>
      <c r="E57" t="s">
        <v>4</v>
      </c>
      <c r="F57">
        <v>148</v>
      </c>
      <c r="G57" s="23" t="b">
        <v>1</v>
      </c>
      <c r="H57" t="s">
        <v>39</v>
      </c>
      <c r="I57" t="s">
        <v>459</v>
      </c>
      <c r="J57" t="s">
        <v>460</v>
      </c>
      <c r="K57" t="s">
        <v>456</v>
      </c>
      <c r="L57" t="s">
        <v>461</v>
      </c>
      <c r="M57" t="s">
        <v>462</v>
      </c>
    </row>
    <row r="58" spans="1:13" x14ac:dyDescent="0.25">
      <c r="A58" t="s">
        <v>463</v>
      </c>
      <c r="B58" t="s">
        <v>113</v>
      </c>
      <c r="D58" t="s">
        <v>181</v>
      </c>
      <c r="E58" s="20" t="s">
        <v>55</v>
      </c>
      <c r="F58">
        <v>103</v>
      </c>
      <c r="G58" s="22" t="b">
        <v>0</v>
      </c>
      <c r="H58" t="s">
        <v>37</v>
      </c>
      <c r="I58" t="s">
        <v>464</v>
      </c>
      <c r="J58" t="s">
        <v>465</v>
      </c>
      <c r="K58" t="s">
        <v>461</v>
      </c>
      <c r="L58" t="s">
        <v>466</v>
      </c>
      <c r="M58" t="s">
        <v>114</v>
      </c>
    </row>
    <row r="59" spans="1:13" x14ac:dyDescent="0.25">
      <c r="A59" t="s">
        <v>467</v>
      </c>
      <c r="B59" t="s">
        <v>468</v>
      </c>
      <c r="D59" t="s">
        <v>181</v>
      </c>
      <c r="E59" t="s">
        <v>4</v>
      </c>
      <c r="F59">
        <v>32</v>
      </c>
      <c r="G59" s="23" t="b">
        <v>1</v>
      </c>
      <c r="H59" t="s">
        <v>41</v>
      </c>
      <c r="I59" t="s">
        <v>469</v>
      </c>
      <c r="J59" t="s">
        <v>470</v>
      </c>
      <c r="K59" t="s">
        <v>466</v>
      </c>
      <c r="L59" t="s">
        <v>471</v>
      </c>
      <c r="M59" t="s">
        <v>472</v>
      </c>
    </row>
    <row r="60" spans="1:13" x14ac:dyDescent="0.25">
      <c r="A60" t="s">
        <v>473</v>
      </c>
      <c r="B60" t="s">
        <v>116</v>
      </c>
      <c r="D60" t="s">
        <v>168</v>
      </c>
      <c r="E60" s="20" t="s">
        <v>55</v>
      </c>
      <c r="F60">
        <v>100</v>
      </c>
      <c r="G60" s="22" t="b">
        <v>0</v>
      </c>
      <c r="H60" t="s">
        <v>37</v>
      </c>
      <c r="I60" t="s">
        <v>474</v>
      </c>
      <c r="J60" t="s">
        <v>475</v>
      </c>
      <c r="K60" t="s">
        <v>471</v>
      </c>
      <c r="L60" t="s">
        <v>476</v>
      </c>
      <c r="M60" t="s">
        <v>117</v>
      </c>
    </row>
    <row r="61" spans="1:13" x14ac:dyDescent="0.25">
      <c r="A61" t="s">
        <v>477</v>
      </c>
      <c r="B61" t="s">
        <v>478</v>
      </c>
      <c r="D61" t="s">
        <v>168</v>
      </c>
      <c r="E61" t="s">
        <v>4</v>
      </c>
      <c r="F61">
        <v>107</v>
      </c>
      <c r="G61" s="23" t="b">
        <v>1</v>
      </c>
      <c r="H61" t="s">
        <v>43</v>
      </c>
      <c r="I61" t="s">
        <v>479</v>
      </c>
      <c r="J61" t="s">
        <v>480</v>
      </c>
      <c r="K61" t="s">
        <v>476</v>
      </c>
      <c r="L61" t="s">
        <v>481</v>
      </c>
      <c r="M61" t="s">
        <v>482</v>
      </c>
    </row>
    <row r="62" spans="1:13" x14ac:dyDescent="0.25">
      <c r="A62" t="s">
        <v>483</v>
      </c>
      <c r="B62" t="s">
        <v>119</v>
      </c>
      <c r="D62" t="s">
        <v>160</v>
      </c>
      <c r="E62" s="20" t="s">
        <v>55</v>
      </c>
      <c r="F62">
        <v>52</v>
      </c>
      <c r="G62" s="22" t="b">
        <v>0</v>
      </c>
      <c r="H62" t="s">
        <v>37</v>
      </c>
      <c r="I62" t="s">
        <v>484</v>
      </c>
      <c r="J62" t="s">
        <v>485</v>
      </c>
      <c r="K62" t="s">
        <v>481</v>
      </c>
      <c r="L62" t="s">
        <v>486</v>
      </c>
      <c r="M62" t="s">
        <v>487</v>
      </c>
    </row>
    <row r="63" spans="1:13" x14ac:dyDescent="0.25">
      <c r="A63" t="s">
        <v>488</v>
      </c>
      <c r="B63" t="s">
        <v>122</v>
      </c>
      <c r="D63" t="s">
        <v>181</v>
      </c>
      <c r="E63" s="20" t="s">
        <v>55</v>
      </c>
      <c r="F63">
        <v>31</v>
      </c>
      <c r="G63" s="22" t="b">
        <v>0</v>
      </c>
      <c r="H63" t="s">
        <v>37</v>
      </c>
      <c r="I63" t="s">
        <v>489</v>
      </c>
      <c r="J63" t="s">
        <v>490</v>
      </c>
      <c r="K63" t="s">
        <v>486</v>
      </c>
      <c r="L63" t="s">
        <v>491</v>
      </c>
      <c r="M63" t="s">
        <v>123</v>
      </c>
    </row>
    <row r="64" spans="1:13" x14ac:dyDescent="0.25">
      <c r="A64" t="s">
        <v>492</v>
      </c>
      <c r="B64" t="s">
        <v>493</v>
      </c>
      <c r="D64" t="s">
        <v>181</v>
      </c>
      <c r="E64" t="s">
        <v>4</v>
      </c>
      <c r="F64">
        <v>36</v>
      </c>
      <c r="G64" s="23" t="b">
        <v>1</v>
      </c>
      <c r="H64" t="s">
        <v>43</v>
      </c>
      <c r="I64" t="s">
        <v>494</v>
      </c>
      <c r="J64" t="s">
        <v>495</v>
      </c>
      <c r="K64" t="s">
        <v>491</v>
      </c>
      <c r="L64" t="s">
        <v>496</v>
      </c>
      <c r="M64" t="s">
        <v>497</v>
      </c>
    </row>
    <row r="65" spans="1:13" x14ac:dyDescent="0.25">
      <c r="A65" t="s">
        <v>498</v>
      </c>
      <c r="B65" t="s">
        <v>125</v>
      </c>
      <c r="D65" t="s">
        <v>181</v>
      </c>
      <c r="E65" s="20" t="s">
        <v>55</v>
      </c>
      <c r="F65">
        <v>56</v>
      </c>
      <c r="G65" s="22" t="b">
        <v>0</v>
      </c>
      <c r="H65" t="s">
        <v>37</v>
      </c>
      <c r="I65" t="s">
        <v>499</v>
      </c>
      <c r="J65" t="s">
        <v>500</v>
      </c>
      <c r="K65" t="s">
        <v>496</v>
      </c>
      <c r="L65" t="s">
        <v>501</v>
      </c>
      <c r="M65" t="s">
        <v>126</v>
      </c>
    </row>
    <row r="66" spans="1:13" x14ac:dyDescent="0.25">
      <c r="A66" t="s">
        <v>502</v>
      </c>
      <c r="B66" t="s">
        <v>503</v>
      </c>
      <c r="D66" t="s">
        <v>168</v>
      </c>
      <c r="E66" t="s">
        <v>4</v>
      </c>
      <c r="F66">
        <v>83</v>
      </c>
      <c r="G66" s="23" t="b">
        <v>1</v>
      </c>
      <c r="H66" t="s">
        <v>43</v>
      </c>
      <c r="I66" t="s">
        <v>504</v>
      </c>
      <c r="J66" t="s">
        <v>505</v>
      </c>
      <c r="K66" t="s">
        <v>501</v>
      </c>
      <c r="L66" t="s">
        <v>506</v>
      </c>
      <c r="M66" t="s">
        <v>507</v>
      </c>
    </row>
    <row r="67" spans="1:13" x14ac:dyDescent="0.25">
      <c r="A67" t="s">
        <v>508</v>
      </c>
      <c r="B67" t="s">
        <v>509</v>
      </c>
      <c r="D67" t="s">
        <v>181</v>
      </c>
      <c r="E67" t="s">
        <v>4</v>
      </c>
      <c r="F67">
        <v>50</v>
      </c>
      <c r="G67" s="23" t="b">
        <v>1</v>
      </c>
      <c r="H67" t="s">
        <v>41</v>
      </c>
      <c r="I67" t="s">
        <v>510</v>
      </c>
      <c r="J67" t="s">
        <v>511</v>
      </c>
      <c r="K67" t="s">
        <v>506</v>
      </c>
      <c r="L67" t="s">
        <v>512</v>
      </c>
      <c r="M67" t="s">
        <v>513</v>
      </c>
    </row>
    <row r="68" spans="1:13" x14ac:dyDescent="0.25">
      <c r="A68" t="s">
        <v>514</v>
      </c>
      <c r="B68" t="s">
        <v>515</v>
      </c>
      <c r="D68" t="s">
        <v>168</v>
      </c>
      <c r="E68" t="s">
        <v>4</v>
      </c>
      <c r="F68">
        <v>66</v>
      </c>
      <c r="G68" s="23" t="b">
        <v>1</v>
      </c>
      <c r="H68" t="s">
        <v>41</v>
      </c>
      <c r="I68" t="s">
        <v>516</v>
      </c>
      <c r="J68" t="s">
        <v>517</v>
      </c>
      <c r="K68" t="s">
        <v>512</v>
      </c>
      <c r="L68" t="s">
        <v>518</v>
      </c>
      <c r="M68" t="s">
        <v>519</v>
      </c>
    </row>
    <row r="69" spans="1:13" x14ac:dyDescent="0.25">
      <c r="A69" t="s">
        <v>520</v>
      </c>
      <c r="B69" t="s">
        <v>521</v>
      </c>
      <c r="D69" t="s">
        <v>160</v>
      </c>
      <c r="E69" t="s">
        <v>4</v>
      </c>
      <c r="F69">
        <v>66</v>
      </c>
      <c r="G69" s="23" t="b">
        <v>1</v>
      </c>
      <c r="H69" t="s">
        <v>43</v>
      </c>
      <c r="I69" t="s">
        <v>522</v>
      </c>
      <c r="J69" t="s">
        <v>523</v>
      </c>
      <c r="K69" t="s">
        <v>518</v>
      </c>
      <c r="L69" t="s">
        <v>524</v>
      </c>
      <c r="M69" t="s">
        <v>525</v>
      </c>
    </row>
    <row r="70" spans="1:13" x14ac:dyDescent="0.25">
      <c r="A70" t="s">
        <v>526</v>
      </c>
      <c r="B70" t="s">
        <v>527</v>
      </c>
      <c r="D70" t="s">
        <v>168</v>
      </c>
      <c r="E70" t="s">
        <v>4</v>
      </c>
      <c r="F70">
        <v>184</v>
      </c>
      <c r="G70" s="23" t="b">
        <v>1</v>
      </c>
      <c r="H70" t="s">
        <v>39</v>
      </c>
      <c r="I70" t="s">
        <v>528</v>
      </c>
      <c r="J70" t="s">
        <v>529</v>
      </c>
      <c r="K70" t="s">
        <v>524</v>
      </c>
      <c r="L70" t="s">
        <v>530</v>
      </c>
      <c r="M70" t="s">
        <v>531</v>
      </c>
    </row>
    <row r="71" spans="1:13" x14ac:dyDescent="0.25">
      <c r="A71" t="s">
        <v>532</v>
      </c>
      <c r="B71" t="s">
        <v>533</v>
      </c>
      <c r="D71" t="s">
        <v>181</v>
      </c>
      <c r="E71" t="s">
        <v>4</v>
      </c>
      <c r="F71">
        <v>99</v>
      </c>
      <c r="G71" s="23" t="b">
        <v>1</v>
      </c>
      <c r="H71" t="s">
        <v>43</v>
      </c>
      <c r="I71" t="s">
        <v>534</v>
      </c>
      <c r="J71" t="s">
        <v>535</v>
      </c>
      <c r="K71" t="s">
        <v>530</v>
      </c>
      <c r="L71" t="s">
        <v>536</v>
      </c>
      <c r="M71" t="s">
        <v>537</v>
      </c>
    </row>
    <row r="72" spans="1:13" x14ac:dyDescent="0.25">
      <c r="A72" t="s">
        <v>538</v>
      </c>
      <c r="B72" t="s">
        <v>539</v>
      </c>
      <c r="D72" t="s">
        <v>160</v>
      </c>
      <c r="E72" t="s">
        <v>4</v>
      </c>
      <c r="F72">
        <v>66</v>
      </c>
      <c r="G72" s="23" t="b">
        <v>1</v>
      </c>
      <c r="H72" t="s">
        <v>43</v>
      </c>
      <c r="I72" t="s">
        <v>540</v>
      </c>
      <c r="J72" t="s">
        <v>541</v>
      </c>
      <c r="K72" t="s">
        <v>536</v>
      </c>
      <c r="L72" t="s">
        <v>542</v>
      </c>
      <c r="M72" t="s">
        <v>543</v>
      </c>
    </row>
    <row r="73" spans="1:13" x14ac:dyDescent="0.25">
      <c r="A73" t="s">
        <v>544</v>
      </c>
      <c r="B73" t="s">
        <v>545</v>
      </c>
      <c r="D73" t="s">
        <v>168</v>
      </c>
      <c r="E73" s="20" t="s">
        <v>260</v>
      </c>
      <c r="F73">
        <v>0</v>
      </c>
      <c r="G73" s="22" t="b">
        <v>0</v>
      </c>
      <c r="H73" t="s">
        <v>41</v>
      </c>
      <c r="I73" t="s">
        <v>261</v>
      </c>
      <c r="J73" t="s">
        <v>262</v>
      </c>
      <c r="K73" t="s">
        <v>542</v>
      </c>
      <c r="L73" t="s">
        <v>546</v>
      </c>
      <c r="M73" t="s">
        <v>543</v>
      </c>
    </row>
    <row r="74" spans="1:13" x14ac:dyDescent="0.25">
      <c r="A74" t="s">
        <v>547</v>
      </c>
      <c r="B74" t="s">
        <v>548</v>
      </c>
      <c r="D74" t="s">
        <v>160</v>
      </c>
      <c r="E74" t="s">
        <v>4</v>
      </c>
      <c r="F74">
        <v>133</v>
      </c>
      <c r="G74" s="23" t="b">
        <v>1</v>
      </c>
      <c r="H74" t="s">
        <v>39</v>
      </c>
      <c r="I74" t="s">
        <v>549</v>
      </c>
      <c r="J74" t="s">
        <v>550</v>
      </c>
      <c r="K74" t="s">
        <v>546</v>
      </c>
      <c r="L74" t="s">
        <v>551</v>
      </c>
      <c r="M74" t="s">
        <v>552</v>
      </c>
    </row>
    <row r="75" spans="1:13" x14ac:dyDescent="0.25">
      <c r="A75" t="s">
        <v>553</v>
      </c>
      <c r="B75" t="s">
        <v>128</v>
      </c>
      <c r="D75" t="s">
        <v>168</v>
      </c>
      <c r="E75" s="20" t="s">
        <v>55</v>
      </c>
      <c r="F75">
        <v>84</v>
      </c>
      <c r="G75" s="22" t="b">
        <v>0</v>
      </c>
      <c r="H75" t="s">
        <v>37</v>
      </c>
      <c r="I75" t="s">
        <v>554</v>
      </c>
      <c r="J75" t="s">
        <v>555</v>
      </c>
      <c r="K75" t="s">
        <v>551</v>
      </c>
      <c r="L75" t="s">
        <v>556</v>
      </c>
      <c r="M75" t="s">
        <v>129</v>
      </c>
    </row>
    <row r="76" spans="1:13" x14ac:dyDescent="0.25">
      <c r="A76" t="s">
        <v>557</v>
      </c>
      <c r="B76" t="s">
        <v>558</v>
      </c>
      <c r="D76" t="s">
        <v>168</v>
      </c>
      <c r="E76" t="s">
        <v>4</v>
      </c>
      <c r="F76">
        <v>130</v>
      </c>
      <c r="G76" s="23" t="b">
        <v>1</v>
      </c>
      <c r="H76" t="s">
        <v>39</v>
      </c>
      <c r="I76" t="s">
        <v>559</v>
      </c>
      <c r="J76" t="s">
        <v>560</v>
      </c>
      <c r="K76" t="s">
        <v>556</v>
      </c>
      <c r="L76" t="s">
        <v>561</v>
      </c>
      <c r="M76" t="s">
        <v>562</v>
      </c>
    </row>
    <row r="77" spans="1:13" x14ac:dyDescent="0.25">
      <c r="A77" t="s">
        <v>563</v>
      </c>
      <c r="B77" t="s">
        <v>564</v>
      </c>
      <c r="D77" t="s">
        <v>181</v>
      </c>
      <c r="E77" t="s">
        <v>4</v>
      </c>
      <c r="F77">
        <v>85</v>
      </c>
      <c r="G77" s="23" t="b">
        <v>1</v>
      </c>
      <c r="H77" t="s">
        <v>43</v>
      </c>
      <c r="I77" t="s">
        <v>565</v>
      </c>
      <c r="J77" t="s">
        <v>566</v>
      </c>
      <c r="K77" t="s">
        <v>561</v>
      </c>
      <c r="L77" t="s">
        <v>567</v>
      </c>
      <c r="M77" t="s">
        <v>568</v>
      </c>
    </row>
    <row r="78" spans="1:13" x14ac:dyDescent="0.25">
      <c r="A78" t="s">
        <v>569</v>
      </c>
      <c r="B78" t="s">
        <v>570</v>
      </c>
      <c r="D78" t="s">
        <v>168</v>
      </c>
      <c r="E78" t="s">
        <v>4</v>
      </c>
      <c r="F78">
        <v>83</v>
      </c>
      <c r="G78" s="23" t="b">
        <v>1</v>
      </c>
      <c r="H78" t="s">
        <v>43</v>
      </c>
      <c r="I78" t="s">
        <v>571</v>
      </c>
      <c r="J78" t="s">
        <v>572</v>
      </c>
      <c r="K78" t="s">
        <v>567</v>
      </c>
      <c r="L78" t="s">
        <v>573</v>
      </c>
      <c r="M78" t="s">
        <v>574</v>
      </c>
    </row>
    <row r="79" spans="1:13" x14ac:dyDescent="0.25">
      <c r="A79" t="s">
        <v>575</v>
      </c>
      <c r="B79" t="s">
        <v>576</v>
      </c>
      <c r="D79" t="s">
        <v>168</v>
      </c>
      <c r="E79" t="s">
        <v>4</v>
      </c>
      <c r="F79">
        <v>66</v>
      </c>
      <c r="G79" s="23" t="b">
        <v>1</v>
      </c>
      <c r="H79" t="s">
        <v>43</v>
      </c>
      <c r="I79" t="s">
        <v>577</v>
      </c>
      <c r="J79" t="s">
        <v>578</v>
      </c>
      <c r="K79" t="s">
        <v>573</v>
      </c>
      <c r="L79" t="s">
        <v>579</v>
      </c>
      <c r="M79" t="s">
        <v>580</v>
      </c>
    </row>
    <row r="80" spans="1:13" x14ac:dyDescent="0.25">
      <c r="A80" t="s">
        <v>581</v>
      </c>
      <c r="B80" t="s">
        <v>582</v>
      </c>
      <c r="D80" t="s">
        <v>181</v>
      </c>
      <c r="E80" t="s">
        <v>4</v>
      </c>
      <c r="F80">
        <v>100</v>
      </c>
      <c r="G80" s="23" t="b">
        <v>1</v>
      </c>
      <c r="H80" t="s">
        <v>39</v>
      </c>
      <c r="I80" t="s">
        <v>583</v>
      </c>
      <c r="J80" t="s">
        <v>584</v>
      </c>
      <c r="K80" t="s">
        <v>579</v>
      </c>
      <c r="L80" t="s">
        <v>585</v>
      </c>
      <c r="M80" t="s">
        <v>586</v>
      </c>
    </row>
    <row r="81" spans="1:13" x14ac:dyDescent="0.25">
      <c r="A81" t="s">
        <v>587</v>
      </c>
      <c r="B81" t="s">
        <v>131</v>
      </c>
      <c r="D81" t="s">
        <v>168</v>
      </c>
      <c r="E81" s="20" t="s">
        <v>55</v>
      </c>
      <c r="F81">
        <v>48</v>
      </c>
      <c r="G81" s="22" t="b">
        <v>0</v>
      </c>
      <c r="H81" t="s">
        <v>37</v>
      </c>
      <c r="I81" t="s">
        <v>588</v>
      </c>
      <c r="J81" t="s">
        <v>589</v>
      </c>
      <c r="K81" t="s">
        <v>585</v>
      </c>
      <c r="L81" t="s">
        <v>590</v>
      </c>
      <c r="M81" t="s">
        <v>591</v>
      </c>
    </row>
    <row r="82" spans="1:13" x14ac:dyDescent="0.25">
      <c r="A82" t="s">
        <v>592</v>
      </c>
      <c r="B82" t="s">
        <v>593</v>
      </c>
      <c r="D82" t="s">
        <v>168</v>
      </c>
      <c r="E82" t="s">
        <v>4</v>
      </c>
      <c r="F82">
        <v>66</v>
      </c>
      <c r="G82" s="23" t="b">
        <v>1</v>
      </c>
      <c r="H82" t="s">
        <v>41</v>
      </c>
      <c r="I82" t="s">
        <v>594</v>
      </c>
      <c r="J82" t="s">
        <v>595</v>
      </c>
      <c r="K82" t="s">
        <v>590</v>
      </c>
      <c r="L82" t="s">
        <v>596</v>
      </c>
      <c r="M82" t="s">
        <v>597</v>
      </c>
    </row>
    <row r="83" spans="1:13" x14ac:dyDescent="0.25">
      <c r="A83" t="s">
        <v>598</v>
      </c>
      <c r="B83" t="s">
        <v>134</v>
      </c>
      <c r="D83" t="s">
        <v>168</v>
      </c>
      <c r="E83" s="20" t="s">
        <v>55</v>
      </c>
      <c r="F83">
        <v>65</v>
      </c>
      <c r="G83" s="22" t="b">
        <v>0</v>
      </c>
      <c r="H83" t="s">
        <v>37</v>
      </c>
      <c r="I83" t="s">
        <v>599</v>
      </c>
      <c r="J83" t="s">
        <v>600</v>
      </c>
      <c r="K83" t="s">
        <v>596</v>
      </c>
      <c r="L83" t="s">
        <v>601</v>
      </c>
      <c r="M83" t="s">
        <v>135</v>
      </c>
    </row>
    <row r="84" spans="1:13" x14ac:dyDescent="0.25">
      <c r="A84" t="s">
        <v>602</v>
      </c>
      <c r="B84" t="s">
        <v>603</v>
      </c>
      <c r="D84" t="s">
        <v>168</v>
      </c>
      <c r="E84" t="s">
        <v>4</v>
      </c>
      <c r="F84">
        <v>85</v>
      </c>
      <c r="G84" s="23" t="b">
        <v>1</v>
      </c>
      <c r="H84" t="s">
        <v>43</v>
      </c>
      <c r="I84" t="s">
        <v>604</v>
      </c>
      <c r="J84" t="s">
        <v>605</v>
      </c>
      <c r="K84" t="s">
        <v>601</v>
      </c>
      <c r="L84" t="s">
        <v>606</v>
      </c>
      <c r="M84" t="s">
        <v>607</v>
      </c>
    </row>
    <row r="85" spans="1:13" x14ac:dyDescent="0.25">
      <c r="A85" t="s">
        <v>608</v>
      </c>
      <c r="B85" t="s">
        <v>609</v>
      </c>
      <c r="D85" t="s">
        <v>168</v>
      </c>
      <c r="E85" t="s">
        <v>4</v>
      </c>
      <c r="F85">
        <v>83</v>
      </c>
      <c r="G85" s="23" t="b">
        <v>1</v>
      </c>
      <c r="H85" t="s">
        <v>39</v>
      </c>
      <c r="I85" t="s">
        <v>610</v>
      </c>
      <c r="J85" t="s">
        <v>611</v>
      </c>
      <c r="K85" t="s">
        <v>606</v>
      </c>
      <c r="L85" t="s">
        <v>612</v>
      </c>
      <c r="M85" t="s">
        <v>613</v>
      </c>
    </row>
    <row r="86" spans="1:13" x14ac:dyDescent="0.25">
      <c r="A86" t="s">
        <v>614</v>
      </c>
      <c r="B86" t="s">
        <v>615</v>
      </c>
      <c r="D86" t="s">
        <v>168</v>
      </c>
      <c r="E86" t="s">
        <v>4</v>
      </c>
      <c r="F86">
        <v>99</v>
      </c>
      <c r="G86" s="23" t="b">
        <v>1</v>
      </c>
      <c r="H86" t="s">
        <v>39</v>
      </c>
      <c r="I86" t="s">
        <v>616</v>
      </c>
      <c r="J86" t="s">
        <v>617</v>
      </c>
      <c r="K86" t="s">
        <v>612</v>
      </c>
      <c r="L86" t="s">
        <v>618</v>
      </c>
      <c r="M86" t="s">
        <v>619</v>
      </c>
    </row>
    <row r="87" spans="1:13" x14ac:dyDescent="0.25">
      <c r="A87" t="s">
        <v>620</v>
      </c>
      <c r="B87" t="s">
        <v>621</v>
      </c>
      <c r="D87" t="s">
        <v>160</v>
      </c>
      <c r="E87" t="s">
        <v>4</v>
      </c>
      <c r="F87">
        <v>66</v>
      </c>
      <c r="G87" s="23" t="b">
        <v>1</v>
      </c>
      <c r="H87" t="s">
        <v>41</v>
      </c>
      <c r="I87" t="s">
        <v>622</v>
      </c>
      <c r="J87" t="s">
        <v>623</v>
      </c>
      <c r="K87" t="s">
        <v>618</v>
      </c>
      <c r="L87" t="s">
        <v>624</v>
      </c>
      <c r="M87" t="s">
        <v>625</v>
      </c>
    </row>
    <row r="88" spans="1:13" x14ac:dyDescent="0.25">
      <c r="A88" t="s">
        <v>626</v>
      </c>
      <c r="B88" t="s">
        <v>627</v>
      </c>
      <c r="D88" t="s">
        <v>160</v>
      </c>
      <c r="E88" t="s">
        <v>4</v>
      </c>
      <c r="F88">
        <v>83</v>
      </c>
      <c r="G88" s="23" t="b">
        <v>1</v>
      </c>
      <c r="H88" t="s">
        <v>39</v>
      </c>
      <c r="I88" t="s">
        <v>628</v>
      </c>
      <c r="J88" t="s">
        <v>629</v>
      </c>
      <c r="K88" t="s">
        <v>624</v>
      </c>
      <c r="L88" t="s">
        <v>630</v>
      </c>
      <c r="M88" t="s">
        <v>631</v>
      </c>
    </row>
    <row r="89" spans="1:13" x14ac:dyDescent="0.25">
      <c r="A89" t="s">
        <v>632</v>
      </c>
      <c r="B89" t="s">
        <v>633</v>
      </c>
      <c r="D89" t="s">
        <v>160</v>
      </c>
      <c r="E89" t="s">
        <v>4</v>
      </c>
      <c r="F89">
        <v>82</v>
      </c>
      <c r="G89" s="23" t="b">
        <v>1</v>
      </c>
      <c r="H89" t="s">
        <v>43</v>
      </c>
      <c r="I89" t="s">
        <v>634</v>
      </c>
      <c r="J89" t="s">
        <v>635</v>
      </c>
      <c r="K89" t="s">
        <v>630</v>
      </c>
      <c r="L89" t="s">
        <v>636</v>
      </c>
      <c r="M89" t="s">
        <v>637</v>
      </c>
    </row>
    <row r="90" spans="1:13" x14ac:dyDescent="0.25">
      <c r="A90" t="s">
        <v>638</v>
      </c>
      <c r="B90" t="s">
        <v>639</v>
      </c>
      <c r="D90" t="s">
        <v>168</v>
      </c>
      <c r="E90" t="s">
        <v>4</v>
      </c>
      <c r="F90">
        <v>35</v>
      </c>
      <c r="G90" s="23" t="b">
        <v>1</v>
      </c>
      <c r="H90" t="s">
        <v>43</v>
      </c>
      <c r="I90" t="s">
        <v>640</v>
      </c>
      <c r="J90" t="s">
        <v>641</v>
      </c>
      <c r="K90" t="s">
        <v>636</v>
      </c>
      <c r="L90" t="s">
        <v>642</v>
      </c>
      <c r="M90" t="s">
        <v>643</v>
      </c>
    </row>
    <row r="91" spans="1:13" x14ac:dyDescent="0.25">
      <c r="A91" t="s">
        <v>644</v>
      </c>
      <c r="B91" t="s">
        <v>645</v>
      </c>
      <c r="D91" t="s">
        <v>168</v>
      </c>
      <c r="E91" s="20" t="s">
        <v>260</v>
      </c>
      <c r="F91">
        <v>0</v>
      </c>
      <c r="G91" s="22" t="b">
        <v>0</v>
      </c>
      <c r="H91" t="s">
        <v>37</v>
      </c>
      <c r="I91" t="s">
        <v>261</v>
      </c>
      <c r="J91" t="s">
        <v>262</v>
      </c>
      <c r="K91" t="s">
        <v>642</v>
      </c>
      <c r="L91" t="s">
        <v>646</v>
      </c>
      <c r="M91" t="s">
        <v>643</v>
      </c>
    </row>
    <row r="92" spans="1:13" x14ac:dyDescent="0.25">
      <c r="A92" t="s">
        <v>647</v>
      </c>
      <c r="B92" t="s">
        <v>137</v>
      </c>
      <c r="D92" t="s">
        <v>168</v>
      </c>
      <c r="E92" s="20" t="s">
        <v>55</v>
      </c>
      <c r="F92">
        <v>100</v>
      </c>
      <c r="G92" s="22" t="b">
        <v>0</v>
      </c>
      <c r="H92" t="s">
        <v>37</v>
      </c>
      <c r="I92" t="s">
        <v>648</v>
      </c>
      <c r="J92" t="s">
        <v>649</v>
      </c>
      <c r="K92" t="s">
        <v>646</v>
      </c>
      <c r="L92" t="s">
        <v>650</v>
      </c>
      <c r="M92" t="s">
        <v>138</v>
      </c>
    </row>
    <row r="93" spans="1:13" x14ac:dyDescent="0.25">
      <c r="A93" t="s">
        <v>651</v>
      </c>
      <c r="B93" t="s">
        <v>140</v>
      </c>
      <c r="D93" t="s">
        <v>168</v>
      </c>
      <c r="E93" s="20" t="s">
        <v>55</v>
      </c>
      <c r="F93">
        <v>100</v>
      </c>
      <c r="G93" s="22" t="b">
        <v>0</v>
      </c>
      <c r="H93" t="s">
        <v>37</v>
      </c>
      <c r="I93" t="s">
        <v>652</v>
      </c>
      <c r="J93" t="s">
        <v>653</v>
      </c>
      <c r="K93" t="s">
        <v>650</v>
      </c>
      <c r="L93" t="s">
        <v>654</v>
      </c>
      <c r="M93" t="s">
        <v>141</v>
      </c>
    </row>
    <row r="94" spans="1:13" x14ac:dyDescent="0.25">
      <c r="A94" t="s">
        <v>655</v>
      </c>
      <c r="B94" t="s">
        <v>656</v>
      </c>
      <c r="D94" t="s">
        <v>168</v>
      </c>
      <c r="E94" t="s">
        <v>4</v>
      </c>
      <c r="F94">
        <v>116</v>
      </c>
      <c r="G94" s="23" t="b">
        <v>1</v>
      </c>
      <c r="H94" t="s">
        <v>41</v>
      </c>
      <c r="I94" t="s">
        <v>657</v>
      </c>
      <c r="J94" t="s">
        <v>658</v>
      </c>
      <c r="K94" t="s">
        <v>654</v>
      </c>
      <c r="L94" t="s">
        <v>659</v>
      </c>
      <c r="M94" t="s">
        <v>660</v>
      </c>
    </row>
    <row r="95" spans="1:13" x14ac:dyDescent="0.25">
      <c r="A95" t="s">
        <v>661</v>
      </c>
      <c r="B95" t="s">
        <v>662</v>
      </c>
      <c r="D95" t="s">
        <v>160</v>
      </c>
      <c r="E95" t="s">
        <v>4</v>
      </c>
      <c r="F95">
        <v>49</v>
      </c>
      <c r="G95" s="23" t="b">
        <v>1</v>
      </c>
      <c r="H95" t="s">
        <v>41</v>
      </c>
      <c r="I95" t="s">
        <v>663</v>
      </c>
      <c r="J95" t="s">
        <v>664</v>
      </c>
      <c r="K95" t="s">
        <v>659</v>
      </c>
      <c r="L95" t="s">
        <v>665</v>
      </c>
      <c r="M95" t="s">
        <v>666</v>
      </c>
    </row>
    <row r="96" spans="1:13" x14ac:dyDescent="0.25">
      <c r="A96" t="s">
        <v>667</v>
      </c>
      <c r="B96" t="s">
        <v>668</v>
      </c>
      <c r="D96" t="s">
        <v>168</v>
      </c>
      <c r="E96" t="s">
        <v>4</v>
      </c>
      <c r="F96">
        <v>84</v>
      </c>
      <c r="G96" s="23" t="b">
        <v>1</v>
      </c>
      <c r="H96" t="s">
        <v>43</v>
      </c>
      <c r="I96" t="s">
        <v>669</v>
      </c>
      <c r="J96" t="s">
        <v>670</v>
      </c>
      <c r="K96" t="s">
        <v>665</v>
      </c>
      <c r="L96" t="s">
        <v>671</v>
      </c>
      <c r="M96" t="s">
        <v>672</v>
      </c>
    </row>
    <row r="97" spans="1:13" x14ac:dyDescent="0.25">
      <c r="A97" t="s">
        <v>673</v>
      </c>
      <c r="B97" t="s">
        <v>674</v>
      </c>
      <c r="D97" t="s">
        <v>181</v>
      </c>
      <c r="E97" t="s">
        <v>4</v>
      </c>
      <c r="F97">
        <v>216</v>
      </c>
      <c r="G97" s="23" t="b">
        <v>1</v>
      </c>
      <c r="H97" t="s">
        <v>39</v>
      </c>
      <c r="I97" t="s">
        <v>675</v>
      </c>
      <c r="J97" t="s">
        <v>676</v>
      </c>
      <c r="K97" t="s">
        <v>671</v>
      </c>
      <c r="L97" t="s">
        <v>677</v>
      </c>
      <c r="M97" t="s">
        <v>678</v>
      </c>
    </row>
    <row r="98" spans="1:13" x14ac:dyDescent="0.25">
      <c r="A98" t="s">
        <v>679</v>
      </c>
      <c r="B98" t="s">
        <v>143</v>
      </c>
      <c r="D98" t="s">
        <v>168</v>
      </c>
      <c r="E98" s="20" t="s">
        <v>55</v>
      </c>
      <c r="F98">
        <v>116</v>
      </c>
      <c r="G98" s="22" t="b">
        <v>0</v>
      </c>
      <c r="H98" t="s">
        <v>37</v>
      </c>
      <c r="I98" t="s">
        <v>680</v>
      </c>
      <c r="J98" t="s">
        <v>681</v>
      </c>
      <c r="K98" t="s">
        <v>677</v>
      </c>
      <c r="L98" t="s">
        <v>682</v>
      </c>
      <c r="M98" t="s">
        <v>144</v>
      </c>
    </row>
    <row r="99" spans="1:13" x14ac:dyDescent="0.25">
      <c r="A99" t="s">
        <v>683</v>
      </c>
      <c r="B99" t="s">
        <v>684</v>
      </c>
      <c r="D99" t="s">
        <v>181</v>
      </c>
      <c r="E99" t="s">
        <v>4</v>
      </c>
      <c r="F99">
        <v>48</v>
      </c>
      <c r="G99" s="23" t="b">
        <v>1</v>
      </c>
      <c r="H99" t="s">
        <v>41</v>
      </c>
      <c r="I99" t="s">
        <v>685</v>
      </c>
      <c r="J99" t="s">
        <v>686</v>
      </c>
      <c r="K99" t="s">
        <v>682</v>
      </c>
      <c r="L99" t="s">
        <v>687</v>
      </c>
      <c r="M99" t="s">
        <v>688</v>
      </c>
    </row>
    <row r="100" spans="1:13" x14ac:dyDescent="0.25">
      <c r="A100" t="s">
        <v>689</v>
      </c>
      <c r="B100" t="s">
        <v>690</v>
      </c>
      <c r="D100" t="s">
        <v>181</v>
      </c>
      <c r="E100" t="s">
        <v>4</v>
      </c>
      <c r="F100">
        <v>93</v>
      </c>
      <c r="G100" s="23" t="b">
        <v>1</v>
      </c>
      <c r="H100" t="s">
        <v>39</v>
      </c>
      <c r="I100" t="s">
        <v>691</v>
      </c>
      <c r="J100" t="s">
        <v>692</v>
      </c>
      <c r="K100" t="s">
        <v>687</v>
      </c>
      <c r="L100" t="s">
        <v>693</v>
      </c>
      <c r="M100" t="s">
        <v>694</v>
      </c>
    </row>
    <row r="101" spans="1:13" x14ac:dyDescent="0.25">
      <c r="A101" t="s">
        <v>695</v>
      </c>
      <c r="B101" t="s">
        <v>146</v>
      </c>
      <c r="D101" t="s">
        <v>168</v>
      </c>
      <c r="E101" s="20" t="s">
        <v>55</v>
      </c>
      <c r="F101">
        <v>41</v>
      </c>
      <c r="G101" s="22" t="b">
        <v>0</v>
      </c>
      <c r="H101" t="s">
        <v>37</v>
      </c>
      <c r="I101" t="s">
        <v>696</v>
      </c>
      <c r="J101" t="s">
        <v>697</v>
      </c>
      <c r="K101" t="s">
        <v>693</v>
      </c>
      <c r="L101" t="s">
        <v>698</v>
      </c>
      <c r="M101" t="s">
        <v>699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Dashboard</vt:lpstr>
      <vt:lpstr>Partner Performance</vt:lpstr>
      <vt:lpstr>DLQ &amp; Exceptions</vt:lpstr>
      <vt:lpstr>Audit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Operational Reporting &amp; Document Distribution Engine</dc:creator>
  <dc:title/>
  <dc:subject/>
  <dc:description/>
  <cp:keywords/>
  <cp:category/>
  <cp:lastModifiedBy>Unknown</cp:lastModifiedBy>
  <dcterms:created xsi:type="dcterms:W3CDTF">2026-10-16T18:10:24Z</dcterms:created>
  <dcterms:modified xsi:type="dcterms:W3CDTF">2026-10-16T18:10:24Z</dcterms:modified>
</cp:coreProperties>
</file>